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1"/>
  </bookViews>
  <sheets>
    <sheet name="Summary" sheetId="12" r:id="rId1"/>
    <sheet name="Registrations Upload &amp; SyncData" sheetId="8" r:id="rId2"/>
    <sheet name="IDAuthentication"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Deepesh Gurung</author>
  </authors>
  <commentList>
    <comment ref="B8" authorId="0">
      <text>
        <r>
          <rPr>
            <sz val="9"/>
            <rFont val="Arial"/>
            <scheme val="minor"/>
            <charset val="1"/>
          </rPr>
          <t>Based on Data from Philippines</t>
        </r>
      </text>
    </comment>
    <comment ref="B9" authorId="0">
      <text>
        <r>
          <rPr>
            <sz val="9"/>
            <rFont val="Arial"/>
            <scheme val="minor"/>
            <charset val="1"/>
          </rPr>
          <t>Default Value was based on Data from Philippines</t>
        </r>
      </text>
    </comment>
    <comment ref="B10" authorId="0">
      <text>
        <r>
          <rPr>
            <sz val="9"/>
            <rFont val="Tahoma"/>
            <charset val="134"/>
          </rPr>
          <t>Based on publicly  available data of India's AADHAR system</t>
        </r>
      </text>
    </comment>
  </commentList>
</comments>
</file>

<file path=xl/comments2.xml><?xml version="1.0" encoding="utf-8"?>
<comments xmlns="http://schemas.openxmlformats.org/spreadsheetml/2006/main">
  <authors>
    <author>Deepesh Gurung</author>
    <author/>
  </authors>
  <commentList>
    <comment ref="B13" authorId="0">
      <text>
        <r>
          <rPr>
            <sz val="10"/>
            <rFont val="Arial"/>
            <scheme val="major"/>
            <charset val="1"/>
          </rPr>
          <t>Assuming the uploads will be done by clients in the last 1 hour of workday</t>
        </r>
      </text>
    </comment>
    <comment ref="B14" authorId="0">
      <text>
        <r>
          <rPr>
            <sz val="10"/>
            <color rgb="FF000000"/>
            <rFont val="Arial"/>
            <scheme val="major"/>
            <charset val="1"/>
          </rPr>
          <t>We are assuming the peak day will be slighly higher ( X1.2) than a Typical day</t>
        </r>
      </text>
    </comment>
    <comment ref="B17" authorId="0">
      <text>
        <r>
          <rPr>
            <sz val="9"/>
            <rFont val="Tahoma"/>
            <charset val="134"/>
          </rPr>
          <t>Number of Resident Client Device X Typical number of registration per day</t>
        </r>
      </text>
    </comment>
    <comment ref="B24" authorId="1">
      <text>
        <r>
          <rPr>
            <sz val="10"/>
            <color rgb="FF000000"/>
            <rFont val="Arial"/>
            <charset val="134"/>
          </rPr>
          <t>The Multiplying Factor is determined by dividing the expected TPS during the peak hour (cell B19) by the TPS observed in the performance run (cell B22). However, this factor is applied only as a whole number addition — it will not be used as a fractional divisor.</t>
        </r>
      </text>
    </comment>
  </commentList>
</comments>
</file>

<file path=xl/comments3.xml><?xml version="1.0" encoding="utf-8"?>
<comments xmlns="http://schemas.openxmlformats.org/spreadsheetml/2006/main">
  <authors>
    <author>Deepesh Gurung</author>
    <author/>
  </authors>
  <commentList>
    <comment ref="B8" authorId="0">
      <text>
        <r>
          <rPr>
            <sz val="10"/>
            <rFont val="Arial"/>
            <scheme val="major"/>
            <charset val="1"/>
          </rPr>
          <t>Based on publicly  available data on other National ID  projects</t>
        </r>
      </text>
    </comment>
    <comment ref="B12" authorId="0">
      <text>
        <r>
          <rPr>
            <sz val="10"/>
            <rFont val="Arial"/>
            <scheme val="minor"/>
            <charset val="1"/>
          </rPr>
          <t>Industry standard to estimate peak hour load compared to daily load</t>
        </r>
      </text>
    </comment>
    <comment ref="B23" authorId="0">
      <text>
        <r>
          <rPr>
            <sz val="10"/>
            <rFont val="Arial"/>
            <scheme val="major"/>
            <charset val="1"/>
          </rPr>
          <t>The Multiplying Factor is determined by dividing the expected TPS during the peak hour (cell B18) by the TPS observed in the performance run (cell B21). However, this factor is applied only as a whole number addition — it will not be used as a fractional divisor.</t>
        </r>
      </text>
    </comment>
    <comment ref="E45" authorId="1">
      <text>
        <r>
          <rPr>
            <sz val="10"/>
            <color rgb="FF000000"/>
            <rFont val="Arial"/>
            <scheme val="minor"/>
            <charset val="1"/>
          </rPr>
          <t>20% of total CPU is considered for monitoring , logging and alerts.</t>
        </r>
      </text>
    </comment>
    <comment ref="E46" authorId="1">
      <text>
        <r>
          <rPr>
            <sz val="10"/>
            <color rgb="FF000000"/>
            <rFont val="Arial"/>
            <scheme val="minor"/>
            <charset val="1"/>
          </rPr>
          <t>30% of Monitoring is considered for kubernetes infra.</t>
        </r>
      </text>
    </comment>
  </commentList>
</comments>
</file>

<file path=xl/sharedStrings.xml><?xml version="1.0" encoding="utf-8"?>
<sst xmlns="http://schemas.openxmlformats.org/spreadsheetml/2006/main" count="131" uniqueCount="82">
  <si>
    <t>Platform Resource Calculator Summary</t>
  </si>
  <si>
    <t>Calculates CPU, RAM and Storage required for Platform related modules</t>
  </si>
  <si>
    <t>Data to be provided by country</t>
  </si>
  <si>
    <t xml:space="preserve">Key Inputs </t>
  </si>
  <si>
    <t>Values</t>
  </si>
  <si>
    <t>Total Population to be Registered</t>
  </si>
  <si>
    <r>
      <rPr>
        <b/>
        <sz val="10"/>
        <color rgb="FF000000"/>
        <rFont val="Arial"/>
        <charset val="134"/>
        <scheme val="minor"/>
      </rPr>
      <t xml:space="preserve">Note: </t>
    </r>
    <r>
      <rPr>
        <sz val="10"/>
        <color rgb="FF000000"/>
        <rFont val="Arial"/>
        <charset val="134"/>
        <scheme val="minor"/>
      </rPr>
      <t>Few additional assumptions have been used to calculate below estimates. Check respective sheets for detailed information.</t>
    </r>
  </si>
  <si>
    <t>Number of registration client devices</t>
  </si>
  <si>
    <t>Typical Number of registration per day per device expected</t>
  </si>
  <si>
    <t>Avg Authentication per day as %</t>
  </si>
  <si>
    <t>Scenario</t>
  </si>
  <si>
    <t>Avg Daily Load</t>
  </si>
  <si>
    <t>Peak Load ( TPS )</t>
  </si>
  <si>
    <t>vCPU</t>
  </si>
  <si>
    <t>RAM (GB)</t>
  </si>
  <si>
    <t>pods</t>
  </si>
  <si>
    <r>
      <rPr>
        <b/>
        <sz val="10"/>
        <color rgb="FF000000"/>
        <rFont val="Arial"/>
        <charset val="134"/>
        <scheme val="minor"/>
      </rPr>
      <t xml:space="preserve">Note: </t>
    </r>
    <r>
      <rPr>
        <sz val="10"/>
        <color rgb="FF000000"/>
        <rFont val="Arial"/>
        <charset val="134"/>
        <scheme val="minor"/>
      </rPr>
      <t>These calculations represent approximate estimates derived from our testing. Actual performance in your environment may vary depending on factors such as load, infrastructure capacity, hardware, and data characteristics.</t>
    </r>
  </si>
  <si>
    <t>Registrations Upload &amp; SyncData</t>
  </si>
  <si>
    <t>Authentication</t>
  </si>
  <si>
    <t xml:space="preserve">Total Resources required </t>
  </si>
  <si>
    <t>Duration for registration to complete (in working days)</t>
  </si>
  <si>
    <r>
      <rPr>
        <b/>
        <sz val="10"/>
        <color rgb="FF000000"/>
        <rFont val="Arial"/>
        <charset val="134"/>
        <scheme val="minor"/>
      </rPr>
      <t xml:space="preserve">Note: </t>
    </r>
    <r>
      <rPr>
        <sz val="10"/>
        <color rgb="FF000000"/>
        <rFont val="Arial"/>
        <charset val="134"/>
        <scheme val="minor"/>
      </rPr>
      <t>The TPS for each calculator is arrived based on some assumed weightage between different types of transaction. For more details on workload model in the Performance Report</t>
    </r>
  </si>
  <si>
    <t>Registration Resource Calculator</t>
  </si>
  <si>
    <t>Calculates CPU, RAM and Storage required for New Registration Upload &amp; Sync Data</t>
  </si>
  <si>
    <t>Should be updated in 
Summary Sheet</t>
  </si>
  <si>
    <t>Data based on Industry standards</t>
  </si>
  <si>
    <t>Additional Assumptions</t>
  </si>
  <si>
    <t>Number of Hours in upload window</t>
  </si>
  <si>
    <t>Should be updated as per Country's 
planned operational requirements</t>
  </si>
  <si>
    <t>Peak day multiplier</t>
  </si>
  <si>
    <t>Calculation based on Key Input and Assumptions</t>
  </si>
  <si>
    <t>Typical Number of Registration Upload per day</t>
  </si>
  <si>
    <t>Peak Daily Upload (Daily Load X Peak day multiplier)</t>
  </si>
  <si>
    <t>Peak Hour Upload per second - TPS</t>
  </si>
  <si>
    <t>Performance Observed during Internal Test</t>
  </si>
  <si>
    <t>Performance Run TPS</t>
  </si>
  <si>
    <t>Multiplying Factor required to match the peak Processing load</t>
  </si>
  <si>
    <t>RAM</t>
  </si>
  <si>
    <t>Total Resources required</t>
  </si>
  <si>
    <t>Calculation</t>
  </si>
  <si>
    <t>Resource used in Internal Test</t>
  </si>
  <si>
    <t xml:space="preserve"> Resources Required</t>
  </si>
  <si>
    <t>Services</t>
  </si>
  <si>
    <t>vCPU
per
pod</t>
  </si>
  <si>
    <t>RAM (GB)
per
pod</t>
  </si>
  <si>
    <t>Total 
vCPU</t>
  </si>
  <si>
    <t>Total 
RAM (GB)</t>
  </si>
  <si>
    <t>Total pods 
required 
for 
Peak hour</t>
  </si>
  <si>
    <t>registration-processor-stage-group-1</t>
  </si>
  <si>
    <t>registration-processor-registration-status-service</t>
  </si>
  <si>
    <t>registration-processor-registration-transaction-service</t>
  </si>
  <si>
    <t>kernel-Sync Data</t>
  </si>
  <si>
    <t>keymanager-Key Manager</t>
  </si>
  <si>
    <t>KERNEL-MASTERDATA</t>
  </si>
  <si>
    <t>KERNEL-AUDITMANAGER</t>
  </si>
  <si>
    <t>KERNEL-AUTHMANAGER</t>
  </si>
  <si>
    <t>kafka</t>
  </si>
  <si>
    <t xml:space="preserve">Redis (Standalone) </t>
  </si>
  <si>
    <t>PostGres (Standalone)</t>
  </si>
  <si>
    <t>Buffers</t>
  </si>
  <si>
    <t>A - Monitoring, Logging and alerts.( 20% of Total CPU &amp; memory)</t>
  </si>
  <si>
    <t>B - Kubernetes infra. (30% of A)</t>
  </si>
  <si>
    <t>C - Buffer in the system. (30% of B)</t>
  </si>
  <si>
    <t>VCPU</t>
  </si>
  <si>
    <t>Note: Data storage requirement is not included</t>
  </si>
  <si>
    <t>ID Authentication Resource Calculator</t>
  </si>
  <si>
    <t>Calculates CPU, RAM and Storage required for ID Authentication</t>
  </si>
  <si>
    <t>Total population having National Id</t>
  </si>
  <si>
    <t>Peak Hour Authentication per day as % of daily</t>
  </si>
  <si>
    <t>Should be updated as per Country's planned operational requirements</t>
  </si>
  <si>
    <t>Total Population using National ID for authentication</t>
  </si>
  <si>
    <t>Avg Authentication per day</t>
  </si>
  <si>
    <t xml:space="preserve">Peak Authentication per hour </t>
  </si>
  <si>
    <t>No. of users using the system in any given second during the peak hour - TPS</t>
  </si>
  <si>
    <t>Factor required to match the expected peak hour TPS</t>
  </si>
  <si>
    <t>ida-IDA-AUTH</t>
  </si>
  <si>
    <t>ida-IDA-OTP</t>
  </si>
  <si>
    <t>bisosdk-biosdk-service</t>
  </si>
  <si>
    <t>kernel-NOTIFIER</t>
  </si>
  <si>
    <t>kernel-OTPMANAGER</t>
  </si>
  <si>
    <t>kernel-AUDITMANAGER</t>
  </si>
  <si>
    <t>A - Monitoring, Logging and alerts. (20% of Total CPU &amp; memory)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</si>
</sst>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0"/>
    <numFmt numFmtId="181" formatCode="#,##0.0"/>
  </numFmts>
  <fonts count="47">
    <font>
      <sz val="10"/>
      <color rgb="FF000000"/>
      <name val="Arial"/>
      <charset val="134"/>
      <scheme val="minor"/>
    </font>
    <font>
      <b/>
      <sz val="16"/>
      <color theme="1"/>
      <name val="Arial"/>
      <charset val="134"/>
      <scheme val="minor"/>
    </font>
    <font>
      <i/>
      <sz val="10"/>
      <color theme="1"/>
      <name val="Arial"/>
      <charset val="134"/>
      <scheme val="minor"/>
    </font>
    <font>
      <b/>
      <sz val="10"/>
      <color theme="1"/>
      <name val="Arial"/>
      <charset val="134"/>
      <scheme val="minor"/>
    </font>
    <font>
      <b/>
      <sz val="10"/>
      <color rgb="FF000000"/>
      <name val="Arial"/>
      <charset val="134"/>
      <scheme val="minor"/>
    </font>
    <font>
      <sz val="10"/>
      <color theme="1"/>
      <name val="Arial"/>
      <charset val="134"/>
      <scheme val="minor"/>
    </font>
    <font>
      <b/>
      <sz val="10"/>
      <color theme="1"/>
      <name val="Montserrat"/>
      <charset val="134"/>
    </font>
    <font>
      <sz val="14"/>
      <color theme="1"/>
      <name val="Arial"/>
      <charset val="134"/>
      <scheme val="minor"/>
    </font>
    <font>
      <sz val="16"/>
      <color theme="1"/>
      <name val="Arial"/>
      <charset val="134"/>
      <scheme val="minor"/>
    </font>
    <font>
      <b/>
      <sz val="12"/>
      <color theme="1"/>
      <name val="Arial"/>
      <charset val="134"/>
      <scheme val="minor"/>
    </font>
    <font>
      <sz val="12"/>
      <color theme="1"/>
      <name val="Arial"/>
      <charset val="134"/>
      <scheme val="minor"/>
    </font>
    <font>
      <sz val="15"/>
      <color rgb="FFD1D2D3"/>
      <name val="Arial"/>
      <charset val="134"/>
      <scheme val="minor"/>
    </font>
    <font>
      <b/>
      <sz val="14"/>
      <color theme="1"/>
      <name val="Montserrat"/>
      <charset val="134"/>
    </font>
    <font>
      <i/>
      <sz val="10"/>
      <color theme="1"/>
      <name val="Montserrat"/>
      <charset val="134"/>
    </font>
    <font>
      <sz val="10"/>
      <color theme="1"/>
      <name val="Montserrat"/>
      <charset val="134"/>
    </font>
    <font>
      <sz val="14"/>
      <color theme="1"/>
      <name val="Montserrat"/>
      <charset val="134"/>
    </font>
    <font>
      <b/>
      <sz val="10"/>
      <color rgb="FF000000"/>
      <name val="Montserrat"/>
      <charset val="134"/>
    </font>
    <font>
      <sz val="10"/>
      <color rgb="FF000000"/>
      <name val="Montserrat"/>
      <charset val="134"/>
    </font>
    <font>
      <sz val="16"/>
      <color rgb="FF000000"/>
      <name val="Arial"/>
      <charset val="134"/>
      <scheme val="minor"/>
    </font>
    <font>
      <b/>
      <sz val="14"/>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00000"/>
      <name val="Arial"/>
      <charset val="134"/>
    </font>
    <font>
      <sz val="9"/>
      <name val="Arial"/>
      <charset val="1"/>
      <scheme val="minor"/>
    </font>
    <font>
      <sz val="9"/>
      <name val="Tahoma"/>
      <charset val="134"/>
    </font>
    <font>
      <sz val="10"/>
      <color rgb="FF000000"/>
      <name val="Arial"/>
      <charset val="1"/>
      <scheme val="minor"/>
    </font>
    <font>
      <sz val="10"/>
      <name val="Arial"/>
      <charset val="1"/>
      <scheme val="major"/>
    </font>
    <font>
      <sz val="10"/>
      <name val="Arial"/>
      <charset val="1"/>
      <scheme val="minor"/>
    </font>
    <font>
      <sz val="10"/>
      <color rgb="FF000000"/>
      <name val="Arial"/>
      <charset val="1"/>
      <scheme val="major"/>
    </font>
  </fonts>
  <fills count="44">
    <fill>
      <patternFill patternType="none"/>
    </fill>
    <fill>
      <patternFill patternType="gray125"/>
    </fill>
    <fill>
      <patternFill patternType="solid">
        <fgColor theme="0"/>
        <bgColor theme="0"/>
      </patternFill>
    </fill>
    <fill>
      <patternFill patternType="solid">
        <fgColor theme="4" tint="0.799981688894314"/>
        <bgColor indexed="64"/>
      </patternFill>
    </fill>
    <fill>
      <patternFill patternType="solid">
        <fgColor theme="4" tint="0.399975585192419"/>
        <bgColor rgb="FFC9DAF8"/>
      </patternFill>
    </fill>
    <fill>
      <patternFill patternType="solid">
        <fgColor theme="6" tint="0.799981688894314"/>
        <bgColor rgb="FFD9EAD3"/>
      </patternFill>
    </fill>
    <fill>
      <patternFill patternType="solid">
        <fgColor theme="0" tint="-0.0499893185216834"/>
        <bgColor rgb="FFFCE5CD"/>
      </patternFill>
    </fill>
    <fill>
      <patternFill patternType="solid">
        <fgColor theme="8" tint="0.799981688894314"/>
        <bgColor rgb="FFFCE5CD"/>
      </patternFill>
    </fill>
    <fill>
      <patternFill patternType="solid">
        <fgColor theme="6" tint="0.599993896298105"/>
        <bgColor rgb="FFB4A7D6"/>
      </patternFill>
    </fill>
    <fill>
      <patternFill patternType="solid">
        <fgColor rgb="FFD9D9D9"/>
        <bgColor rgb="FFD9D9D9"/>
      </patternFill>
    </fill>
    <fill>
      <patternFill patternType="solid">
        <fgColor rgb="FFFFFFFF"/>
        <bgColor rgb="FFFFFFFF"/>
      </patternFill>
    </fill>
    <fill>
      <patternFill patternType="solid">
        <fgColor rgb="FFCCCCCC"/>
        <bgColor rgb="FFCCCCCC"/>
      </patternFill>
    </fill>
    <fill>
      <patternFill patternType="solid">
        <fgColor rgb="FFB4A7D6"/>
        <bgColor rgb="FFB4A7D6"/>
      </patternFill>
    </fill>
    <fill>
      <patternFill patternType="solid">
        <fgColor theme="4" tint="0.799981688894314"/>
        <bgColor rgb="FFC9DAF8"/>
      </patternFill>
    </fill>
    <fill>
      <patternFill patternType="solid">
        <fgColor theme="6"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8">
    <border>
      <left/>
      <right/>
      <top/>
      <bottom/>
      <diagonal/>
    </border>
    <border>
      <left style="medium">
        <color rgb="FF000000"/>
      </left>
      <right style="medium">
        <color rgb="FF000000"/>
      </right>
      <top style="medium">
        <color rgb="FF000000"/>
      </top>
      <bottom style="medium">
        <color rgb="FF000000"/>
      </bottom>
      <diagonal/>
    </border>
    <border>
      <left style="medium">
        <color auto="1"/>
      </left>
      <right/>
      <top style="medium">
        <color auto="1"/>
      </top>
      <bottom style="medium">
        <color auto="1"/>
      </bottom>
      <diagonal/>
    </border>
    <border>
      <left style="medium">
        <color rgb="FF000000"/>
      </left>
      <right style="medium">
        <color auto="1"/>
      </right>
      <top style="medium">
        <color auto="1"/>
      </top>
      <bottom/>
      <diagonal/>
    </border>
    <border>
      <left style="medium">
        <color auto="1"/>
      </left>
      <right/>
      <top style="medium">
        <color rgb="FF000000"/>
      </top>
      <bottom/>
      <diagonal/>
    </border>
    <border>
      <left style="medium">
        <color auto="1"/>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rgb="FF000000"/>
      </right>
      <top/>
      <bottom style="medium">
        <color auto="1"/>
      </bottom>
      <diagonal/>
    </border>
    <border>
      <left style="medium">
        <color rgb="FF000000"/>
      </left>
      <right style="medium">
        <color auto="1"/>
      </right>
      <top/>
      <bottom style="medium">
        <color auto="1"/>
      </bottom>
      <diagonal/>
    </border>
    <border>
      <left style="medium">
        <color auto="1"/>
      </left>
      <right style="medium">
        <color rgb="FF000000"/>
      </right>
      <top style="medium">
        <color auto="1"/>
      </top>
      <bottom style="medium">
        <color rgb="FF000000"/>
      </bottom>
      <diagonal/>
    </border>
    <border>
      <left style="medium">
        <color rgb="FF000000"/>
      </left>
      <right style="medium">
        <color auto="1"/>
      </right>
      <top style="medium">
        <color auto="1"/>
      </top>
      <bottom style="medium">
        <color rgb="FF000000"/>
      </bottom>
      <diagonal/>
    </border>
    <border>
      <left style="medium">
        <color auto="1"/>
      </left>
      <right style="medium">
        <color rgb="FF000000"/>
      </right>
      <top style="medium">
        <color rgb="FF000000"/>
      </top>
      <bottom/>
      <diagonal/>
    </border>
    <border>
      <left/>
      <right style="medium">
        <color auto="1"/>
      </right>
      <top/>
      <bottom/>
      <diagonal/>
    </border>
    <border>
      <left style="medium">
        <color auto="1"/>
      </left>
      <right style="medium">
        <color rgb="FF000000"/>
      </right>
      <top/>
      <bottom/>
      <diagonal/>
    </border>
    <border>
      <left/>
      <right style="medium">
        <color auto="1"/>
      </right>
      <top/>
      <bottom style="medium">
        <color auto="1"/>
      </bottom>
      <diagonal/>
    </border>
    <border>
      <left style="medium">
        <color auto="1"/>
      </left>
      <right style="medium">
        <color rgb="FF000000"/>
      </right>
      <top style="medium">
        <color rgb="FF000000"/>
      </top>
      <bottom style="medium">
        <color auto="1"/>
      </bottom>
      <diagonal/>
    </border>
    <border>
      <left/>
      <right style="medium">
        <color auto="1"/>
      </right>
      <top style="medium">
        <color rgb="FF000000"/>
      </top>
      <bottom style="medium">
        <color auto="1"/>
      </bottom>
      <diagonal/>
    </border>
    <border>
      <left style="medium">
        <color rgb="FF000000"/>
      </left>
      <right/>
      <top/>
      <bottom/>
      <diagonal/>
    </border>
    <border>
      <left style="medium">
        <color auto="1"/>
      </left>
      <right style="medium">
        <color rgb="FF000000"/>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diagonal/>
    </border>
    <border>
      <left/>
      <right/>
      <top style="medium">
        <color auto="1"/>
      </top>
      <bottom style="medium">
        <color auto="1"/>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top/>
      <bottom style="medium">
        <color auto="1"/>
      </bottom>
      <diagonal/>
    </border>
    <border>
      <left style="medium">
        <color auto="1"/>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auto="1"/>
      </right>
      <top/>
      <bottom style="medium">
        <color rgb="FF000000"/>
      </bottom>
      <diagonal/>
    </border>
    <border>
      <left/>
      <right style="medium">
        <color rgb="FF000000"/>
      </right>
      <top/>
      <bottom/>
      <diagonal/>
    </border>
    <border>
      <left style="medium">
        <color auto="1"/>
      </left>
      <right/>
      <top/>
      <bottom style="medium">
        <color rgb="FF000000"/>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0" fillId="0" borderId="0" applyFont="0" applyFill="0" applyBorder="0" applyAlignment="0" applyProtection="0">
      <alignment vertical="center"/>
    </xf>
    <xf numFmtId="177" fontId="20" fillId="0" borderId="0" applyFont="0" applyFill="0" applyBorder="0" applyAlignment="0" applyProtection="0">
      <alignment vertical="center"/>
    </xf>
    <xf numFmtId="9" fontId="20" fillId="0" borderId="0" applyFont="0" applyFill="0" applyBorder="0" applyAlignment="0" applyProtection="0">
      <alignment vertical="center"/>
    </xf>
    <xf numFmtId="178" fontId="20" fillId="0" borderId="0" applyFont="0" applyFill="0" applyBorder="0" applyAlignment="0" applyProtection="0">
      <alignment vertical="center"/>
    </xf>
    <xf numFmtId="179" fontId="2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0" fillId="15" borderId="40"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41" applyNumberFormat="0" applyFill="0" applyAlignment="0" applyProtection="0">
      <alignment vertical="center"/>
    </xf>
    <xf numFmtId="0" fontId="27" fillId="0" borderId="41" applyNumberFormat="0" applyFill="0" applyAlignment="0" applyProtection="0">
      <alignment vertical="center"/>
    </xf>
    <xf numFmtId="0" fontId="28" fillId="0" borderId="42" applyNumberFormat="0" applyFill="0" applyAlignment="0" applyProtection="0">
      <alignment vertical="center"/>
    </xf>
    <xf numFmtId="0" fontId="28" fillId="0" borderId="0" applyNumberFormat="0" applyFill="0" applyBorder="0" applyAlignment="0" applyProtection="0">
      <alignment vertical="center"/>
    </xf>
    <xf numFmtId="0" fontId="29" fillId="16" borderId="43" applyNumberFormat="0" applyAlignment="0" applyProtection="0">
      <alignment vertical="center"/>
    </xf>
    <xf numFmtId="0" fontId="30" fillId="17" borderId="44" applyNumberFormat="0" applyAlignment="0" applyProtection="0">
      <alignment vertical="center"/>
    </xf>
    <xf numFmtId="0" fontId="31" fillId="17" borderId="43" applyNumberFormat="0" applyAlignment="0" applyProtection="0">
      <alignment vertical="center"/>
    </xf>
    <xf numFmtId="0" fontId="32" fillId="18" borderId="45" applyNumberFormat="0" applyAlignment="0" applyProtection="0">
      <alignment vertical="center"/>
    </xf>
    <xf numFmtId="0" fontId="33" fillId="0" borderId="46" applyNumberFormat="0" applyFill="0" applyAlignment="0" applyProtection="0">
      <alignment vertical="center"/>
    </xf>
    <xf numFmtId="0" fontId="34" fillId="0" borderId="47" applyNumberFormat="0" applyFill="0" applyAlignment="0" applyProtection="0">
      <alignment vertical="center"/>
    </xf>
    <xf numFmtId="0" fontId="35"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8" fillId="22" borderId="0" applyNumberFormat="0" applyBorder="0" applyAlignment="0" applyProtection="0">
      <alignment vertical="center"/>
    </xf>
    <xf numFmtId="0" fontId="39" fillId="3" borderId="0" applyNumberFormat="0" applyBorder="0" applyAlignment="0" applyProtection="0">
      <alignment vertical="center"/>
    </xf>
    <xf numFmtId="0" fontId="39"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9" fillId="30" borderId="0" applyNumberFormat="0" applyBorder="0" applyAlignment="0" applyProtection="0">
      <alignment vertical="center"/>
    </xf>
    <xf numFmtId="0" fontId="39" fillId="14"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9" fillId="33" borderId="0" applyNumberFormat="0" applyBorder="0" applyAlignment="0" applyProtection="0">
      <alignment vertical="center"/>
    </xf>
    <xf numFmtId="0" fontId="39" fillId="34" borderId="0" applyNumberFormat="0" applyBorder="0" applyAlignment="0" applyProtection="0">
      <alignment vertical="center"/>
    </xf>
    <xf numFmtId="0" fontId="38" fillId="35" borderId="0" applyNumberFormat="0" applyBorder="0" applyAlignment="0" applyProtection="0">
      <alignment vertical="center"/>
    </xf>
    <xf numFmtId="0" fontId="38" fillId="36" borderId="0" applyNumberFormat="0" applyBorder="0" applyAlignment="0" applyProtection="0">
      <alignment vertical="center"/>
    </xf>
    <xf numFmtId="0" fontId="39" fillId="37" borderId="0" applyNumberFormat="0" applyBorder="0" applyAlignment="0" applyProtection="0">
      <alignment vertical="center"/>
    </xf>
    <xf numFmtId="0" fontId="39" fillId="38" borderId="0" applyNumberFormat="0" applyBorder="0" applyAlignment="0" applyProtection="0">
      <alignment vertical="center"/>
    </xf>
    <xf numFmtId="0" fontId="38" fillId="39" borderId="0" applyNumberFormat="0" applyBorder="0" applyAlignment="0" applyProtection="0">
      <alignment vertical="center"/>
    </xf>
    <xf numFmtId="0" fontId="38" fillId="40" borderId="0" applyNumberFormat="0" applyBorder="0" applyAlignment="0" applyProtection="0">
      <alignment vertical="center"/>
    </xf>
    <xf numFmtId="0" fontId="39" fillId="41" borderId="0" applyNumberFormat="0" applyBorder="0" applyAlignment="0" applyProtection="0">
      <alignment vertical="center"/>
    </xf>
    <xf numFmtId="0" fontId="39" fillId="42" borderId="0" applyNumberFormat="0" applyBorder="0" applyAlignment="0" applyProtection="0">
      <alignment vertical="center"/>
    </xf>
    <xf numFmtId="0" fontId="38" fillId="43" borderId="0" applyNumberFormat="0" applyBorder="0" applyAlignment="0" applyProtection="0">
      <alignment vertical="center"/>
    </xf>
  </cellStyleXfs>
  <cellXfs count="203">
    <xf numFmtId="0" fontId="0" fillId="0" borderId="0" xfId="0"/>
    <xf numFmtId="0" fontId="1" fillId="2" borderId="1" xfId="0" applyFont="1" applyFill="1" applyBorder="1" applyAlignment="1">
      <alignment horizontal="left" vertical="center" wrapText="1"/>
    </xf>
    <xf numFmtId="0" fontId="0" fillId="0" borderId="0" xfId="0" applyFont="1" applyAlignment="1">
      <alignment horizontal="left" vertical="center" wrapText="1"/>
    </xf>
    <xf numFmtId="0" fontId="2" fillId="0" borderId="1" xfId="0" applyFont="1" applyBorder="1" applyAlignment="1">
      <alignment horizontal="left" vertical="center" wrapText="1"/>
    </xf>
    <xf numFmtId="0" fontId="2" fillId="0" borderId="0" xfId="0" applyFont="1" applyBorder="1" applyAlignment="1">
      <alignment horizontal="left" vertical="center" wrapText="1"/>
    </xf>
    <xf numFmtId="0" fontId="0" fillId="0" borderId="0" xfId="0" applyFont="1" applyAlignment="1">
      <alignment horizontal="left" vertical="center"/>
    </xf>
    <xf numFmtId="0" fontId="3" fillId="0" borderId="0" xfId="0" applyFont="1" applyAlignment="1">
      <alignment horizontal="left" vertical="center"/>
    </xf>
    <xf numFmtId="0" fontId="4" fillId="0" borderId="2" xfId="0" applyFont="1" applyFill="1" applyBorder="1"/>
    <xf numFmtId="0" fontId="3" fillId="0" borderId="3" xfId="0" applyFont="1" applyBorder="1" applyAlignment="1">
      <alignment horizontal="left" vertical="center"/>
    </xf>
    <xf numFmtId="0" fontId="0" fillId="0" borderId="0" xfId="0" applyFont="1"/>
    <xf numFmtId="0" fontId="5" fillId="0" borderId="4" xfId="0" applyFont="1" applyFill="1" applyBorder="1" applyAlignment="1">
      <alignment horizontal="left" vertical="center"/>
    </xf>
    <xf numFmtId="3" fontId="5" fillId="3" borderId="5" xfId="0" applyNumberFormat="1" applyFont="1" applyFill="1" applyBorder="1" applyAlignment="1">
      <alignment horizontal="right" vertical="center"/>
    </xf>
    <xf numFmtId="0" fontId="0" fillId="0" borderId="6" xfId="0" applyFont="1" applyBorder="1" applyAlignment="1">
      <alignment horizontal="center" vertical="top" wrapText="1"/>
    </xf>
    <xf numFmtId="0" fontId="0" fillId="0" borderId="0" xfId="0" applyFont="1" applyBorder="1" applyAlignment="1">
      <alignment horizontal="center" vertical="top" wrapText="1"/>
    </xf>
    <xf numFmtId="0" fontId="0" fillId="0" borderId="0" xfId="0" applyFont="1" applyAlignment="1">
      <alignment vertical="top" wrapText="1"/>
    </xf>
    <xf numFmtId="0" fontId="5" fillId="0" borderId="7" xfId="0" applyFont="1" applyFill="1" applyBorder="1" applyAlignment="1">
      <alignment horizontal="left" vertical="center"/>
    </xf>
    <xf numFmtId="9" fontId="5" fillId="3" borderId="8" xfId="0" applyNumberFormat="1" applyFont="1" applyFill="1" applyBorder="1" applyAlignment="1">
      <alignment horizontal="right" vertical="center"/>
    </xf>
    <xf numFmtId="0" fontId="5" fillId="0" borderId="6" xfId="0" applyFont="1" applyFill="1" applyBorder="1" applyAlignment="1">
      <alignment horizontal="left" vertical="center"/>
    </xf>
    <xf numFmtId="9" fontId="5" fillId="0" borderId="0" xfId="0" applyNumberFormat="1" applyFont="1" applyFill="1" applyBorder="1" applyAlignment="1">
      <alignment horizontal="right" vertical="center"/>
    </xf>
    <xf numFmtId="0" fontId="0" fillId="0" borderId="6" xfId="0" applyBorder="1" applyAlignment="1">
      <alignment vertical="top"/>
    </xf>
    <xf numFmtId="0" fontId="0" fillId="0" borderId="0" xfId="0" applyBorder="1" applyAlignment="1">
      <alignment vertical="top"/>
    </xf>
    <xf numFmtId="0" fontId="6" fillId="0" borderId="6" xfId="0" applyFont="1" applyFill="1" applyBorder="1" applyAlignment="1">
      <alignment horizontal="left" vertical="center" wrapText="1"/>
    </xf>
    <xf numFmtId="0" fontId="6" fillId="0" borderId="2" xfId="0" applyFont="1" applyBorder="1" applyAlignment="1">
      <alignment horizontal="left" vertical="center" wrapText="1"/>
    </xf>
    <xf numFmtId="0" fontId="3" fillId="0" borderId="9" xfId="0" applyFont="1" applyBorder="1"/>
    <xf numFmtId="0" fontId="5" fillId="0" borderId="10" xfId="0" applyFont="1" applyFill="1" applyBorder="1" applyAlignment="1">
      <alignment horizontal="left" vertical="center"/>
    </xf>
    <xf numFmtId="9" fontId="5" fillId="4" borderId="11" xfId="0" applyNumberFormat="1" applyFont="1" applyFill="1" applyBorder="1" applyAlignment="1" applyProtection="1">
      <alignment horizontal="right" vertical="center"/>
      <protection locked="0"/>
    </xf>
    <xf numFmtId="0" fontId="0" fillId="0" borderId="6" xfId="0" applyFont="1" applyBorder="1" applyAlignment="1">
      <alignment horizontal="center" vertical="top"/>
    </xf>
    <xf numFmtId="0" fontId="0" fillId="0" borderId="0" xfId="0" applyFont="1" applyBorder="1" applyAlignment="1">
      <alignment horizontal="center" vertical="top"/>
    </xf>
    <xf numFmtId="0" fontId="0" fillId="0" borderId="0" xfId="0" applyFont="1" applyAlignment="1">
      <alignment horizontal="right" vertical="center"/>
    </xf>
    <xf numFmtId="0" fontId="3" fillId="0" borderId="12" xfId="0" applyFont="1" applyBorder="1" applyAlignment="1">
      <alignment horizontal="left" vertical="center"/>
    </xf>
    <xf numFmtId="0" fontId="3" fillId="0" borderId="13" xfId="0" applyFont="1" applyBorder="1" applyAlignment="1">
      <alignment horizontal="right" vertical="center"/>
    </xf>
    <xf numFmtId="0" fontId="5" fillId="0" borderId="14" xfId="0" applyFont="1" applyBorder="1" applyAlignment="1">
      <alignment horizontal="left" vertical="center"/>
    </xf>
    <xf numFmtId="3" fontId="5" fillId="5" borderId="15" xfId="0" applyNumberFormat="1" applyFont="1" applyFill="1" applyBorder="1" applyAlignment="1">
      <alignment horizontal="right" vertical="center"/>
    </xf>
    <xf numFmtId="0" fontId="5" fillId="0" borderId="16" xfId="0" applyFont="1" applyBorder="1" applyAlignment="1">
      <alignment horizontal="left" vertical="center"/>
    </xf>
    <xf numFmtId="0" fontId="5" fillId="0" borderId="10" xfId="0" applyFont="1" applyBorder="1" applyAlignment="1">
      <alignment horizontal="left" vertical="center"/>
    </xf>
    <xf numFmtId="0" fontId="5" fillId="5" borderId="17" xfId="0" applyFont="1" applyFill="1" applyBorder="1" applyAlignment="1">
      <alignment horizontal="right" vertical="center"/>
    </xf>
    <xf numFmtId="0" fontId="6" fillId="0" borderId="12" xfId="0" applyFont="1" applyBorder="1"/>
    <xf numFmtId="0" fontId="5" fillId="0" borderId="13" xfId="0" applyFont="1" applyBorder="1" applyAlignment="1">
      <alignment horizontal="right" vertical="center"/>
    </xf>
    <xf numFmtId="0" fontId="5" fillId="0" borderId="18" xfId="0" applyFont="1" applyBorder="1" applyAlignment="1">
      <alignment horizontal="left" vertical="center"/>
    </xf>
    <xf numFmtId="0" fontId="5" fillId="6" borderId="19" xfId="0" applyFont="1" applyFill="1" applyBorder="1" applyAlignment="1">
      <alignment horizontal="right" vertical="center"/>
    </xf>
    <xf numFmtId="0" fontId="5" fillId="0" borderId="20" xfId="0" applyFont="1" applyBorder="1" applyAlignment="1">
      <alignment horizontal="left" vertical="center"/>
    </xf>
    <xf numFmtId="0" fontId="5" fillId="0" borderId="0" xfId="0" applyFont="1" applyFill="1" applyBorder="1" applyAlignment="1">
      <alignment horizontal="right" vertical="center"/>
    </xf>
    <xf numFmtId="0" fontId="7" fillId="0" borderId="21" xfId="0" applyFont="1" applyBorder="1" applyAlignment="1">
      <alignment horizontal="left" vertical="center"/>
    </xf>
    <xf numFmtId="0" fontId="7" fillId="7" borderId="22" xfId="0" applyFont="1" applyFill="1" applyBorder="1" applyAlignment="1">
      <alignment horizontal="right" vertical="center"/>
    </xf>
    <xf numFmtId="0" fontId="5" fillId="0" borderId="0" xfId="0" applyFont="1" applyAlignment="1">
      <alignment horizontal="left" vertical="center"/>
    </xf>
    <xf numFmtId="0" fontId="0" fillId="0" borderId="0" xfId="0" applyBorder="1"/>
    <xf numFmtId="0" fontId="4" fillId="0" borderId="23" xfId="0" applyFont="1" applyBorder="1" applyAlignment="1">
      <alignment horizontal="center" vertical="center"/>
    </xf>
    <xf numFmtId="0" fontId="8" fillId="8" borderId="2" xfId="0" applyFont="1" applyFill="1" applyBorder="1" applyAlignment="1">
      <alignment horizontal="left" vertical="center"/>
    </xf>
    <xf numFmtId="0" fontId="8" fillId="8" borderId="24" xfId="0" applyFont="1" applyFill="1" applyBorder="1" applyAlignment="1">
      <alignment horizontal="left" vertical="center"/>
    </xf>
    <xf numFmtId="3" fontId="8" fillId="8" borderId="24" xfId="0" applyNumberFormat="1" applyFont="1" applyFill="1" applyBorder="1" applyAlignment="1">
      <alignment horizontal="right" vertical="center"/>
    </xf>
    <xf numFmtId="3" fontId="8" fillId="8" borderId="22" xfId="0" applyNumberFormat="1" applyFont="1" applyFill="1" applyBorder="1" applyAlignment="1">
      <alignment horizontal="right" vertical="center"/>
    </xf>
    <xf numFmtId="0" fontId="0" fillId="0" borderId="2" xfId="0" applyFont="1" applyBorder="1" applyAlignment="1">
      <alignment horizontal="center"/>
    </xf>
    <xf numFmtId="0" fontId="0" fillId="0" borderId="24" xfId="0" applyFont="1" applyBorder="1" applyAlignment="1">
      <alignment horizontal="center"/>
    </xf>
    <xf numFmtId="0" fontId="0" fillId="0" borderId="24" xfId="0" applyBorder="1" applyAlignment="1">
      <alignment horizontal="center"/>
    </xf>
    <xf numFmtId="0" fontId="0" fillId="0" borderId="22" xfId="0" applyBorder="1" applyAlignment="1">
      <alignment horizontal="center"/>
    </xf>
    <xf numFmtId="0" fontId="3" fillId="9" borderId="5" xfId="0" applyFont="1" applyFill="1" applyBorder="1" applyAlignment="1">
      <alignment horizontal="center" vertical="center"/>
    </xf>
    <xf numFmtId="49" fontId="3" fillId="9" borderId="5" xfId="0" applyNumberFormat="1" applyFont="1" applyFill="1" applyBorder="1" applyAlignment="1">
      <alignment horizontal="center" vertical="center" wrapText="1"/>
    </xf>
    <xf numFmtId="0" fontId="3" fillId="9" borderId="5" xfId="0" applyFont="1" applyFill="1" applyBorder="1" applyAlignment="1">
      <alignment horizontal="center" vertical="center" wrapText="1"/>
    </xf>
    <xf numFmtId="0" fontId="3" fillId="9" borderId="25" xfId="0" applyFont="1" applyFill="1" applyBorder="1" applyAlignment="1">
      <alignment horizontal="center" vertical="center"/>
    </xf>
    <xf numFmtId="49" fontId="3" fillId="9" borderId="25" xfId="0" applyNumberFormat="1" applyFont="1" applyFill="1" applyBorder="1" applyAlignment="1">
      <alignment horizontal="center" vertical="center" wrapText="1"/>
    </xf>
    <xf numFmtId="0" fontId="3" fillId="9" borderId="25" xfId="0" applyFont="1" applyFill="1" applyBorder="1" applyAlignment="1">
      <alignment horizontal="center" vertical="center" wrapText="1"/>
    </xf>
    <xf numFmtId="0" fontId="3" fillId="9" borderId="8" xfId="0" applyFont="1" applyFill="1" applyBorder="1" applyAlignment="1">
      <alignment horizontal="center" vertical="center"/>
    </xf>
    <xf numFmtId="49" fontId="5" fillId="0" borderId="6" xfId="0" applyNumberFormat="1" applyFont="1" applyFill="1" applyBorder="1" applyAlignment="1">
      <alignment horizontal="left" vertical="center"/>
    </xf>
    <xf numFmtId="180" fontId="5" fillId="6" borderId="26" xfId="0" applyNumberFormat="1" applyFont="1" applyFill="1" applyBorder="1" applyAlignment="1">
      <alignment horizontal="right" vertical="center"/>
    </xf>
    <xf numFmtId="180" fontId="5" fillId="6" borderId="27" xfId="0" applyNumberFormat="1" applyFont="1" applyFill="1" applyBorder="1" applyAlignment="1">
      <alignment horizontal="right" vertical="center"/>
    </xf>
    <xf numFmtId="0" fontId="5" fillId="6" borderId="28" xfId="0" applyFont="1" applyFill="1" applyBorder="1" applyAlignment="1">
      <alignment horizontal="right" vertical="center"/>
    </xf>
    <xf numFmtId="0" fontId="5" fillId="10" borderId="26" xfId="0" applyFont="1" applyFill="1" applyBorder="1" applyAlignment="1">
      <alignment horizontal="right" vertical="center"/>
    </xf>
    <xf numFmtId="0" fontId="5" fillId="10" borderId="27" xfId="0" applyFont="1" applyFill="1" applyBorder="1" applyAlignment="1">
      <alignment horizontal="right" vertical="center"/>
    </xf>
    <xf numFmtId="0" fontId="5" fillId="10" borderId="28" xfId="0" applyFont="1" applyFill="1" applyBorder="1" applyAlignment="1">
      <alignment horizontal="right" vertical="center"/>
    </xf>
    <xf numFmtId="180" fontId="5" fillId="6" borderId="6" xfId="0" applyNumberFormat="1" applyFont="1" applyFill="1" applyBorder="1" applyAlignment="1">
      <alignment horizontal="right" vertical="center"/>
    </xf>
    <xf numFmtId="180" fontId="5" fillId="6" borderId="0" xfId="0" applyNumberFormat="1" applyFont="1" applyFill="1" applyBorder="1" applyAlignment="1">
      <alignment horizontal="right" vertical="center"/>
    </xf>
    <xf numFmtId="0" fontId="5" fillId="6" borderId="15" xfId="0" applyFont="1" applyFill="1" applyBorder="1" applyAlignment="1">
      <alignment horizontal="right" vertical="center"/>
    </xf>
    <xf numFmtId="0" fontId="5" fillId="10" borderId="6" xfId="0" applyFont="1" applyFill="1" applyBorder="1" applyAlignment="1">
      <alignment horizontal="right" vertical="center"/>
    </xf>
    <xf numFmtId="0" fontId="5" fillId="10" borderId="0" xfId="0" applyFont="1" applyFill="1" applyBorder="1" applyAlignment="1">
      <alignment horizontal="right" vertical="center"/>
    </xf>
    <xf numFmtId="0" fontId="5" fillId="10" borderId="15" xfId="0" applyFont="1" applyFill="1" applyBorder="1" applyAlignment="1">
      <alignment horizontal="right" vertical="center"/>
    </xf>
    <xf numFmtId="0" fontId="5" fillId="0" borderId="26" xfId="0" applyFont="1" applyBorder="1" applyAlignment="1">
      <alignment horizontal="left" vertical="center"/>
    </xf>
    <xf numFmtId="0" fontId="5" fillId="0" borderId="28" xfId="0" applyFont="1" applyBorder="1" applyAlignment="1">
      <alignment horizontal="right" vertical="center"/>
    </xf>
    <xf numFmtId="0" fontId="5" fillId="0" borderId="7" xfId="0" applyFont="1" applyBorder="1" applyAlignment="1">
      <alignment horizontal="left" vertical="center"/>
    </xf>
    <xf numFmtId="180" fontId="5" fillId="6" borderId="7" xfId="0" applyNumberFormat="1" applyFont="1" applyFill="1" applyBorder="1" applyAlignment="1">
      <alignment horizontal="right" vertical="center"/>
    </xf>
    <xf numFmtId="180" fontId="5" fillId="6" borderId="29" xfId="0" applyNumberFormat="1" applyFont="1" applyFill="1" applyBorder="1" applyAlignment="1">
      <alignment horizontal="right" vertical="center"/>
    </xf>
    <xf numFmtId="0" fontId="5" fillId="6" borderId="17" xfId="0" applyFont="1" applyFill="1" applyBorder="1" applyAlignment="1">
      <alignment horizontal="right" vertical="center"/>
    </xf>
    <xf numFmtId="0" fontId="5" fillId="10" borderId="7" xfId="0" applyFont="1" applyFill="1" applyBorder="1" applyAlignment="1">
      <alignment horizontal="right" vertical="center"/>
    </xf>
    <xf numFmtId="0" fontId="5" fillId="10" borderId="29" xfId="0" applyFont="1" applyFill="1" applyBorder="1" applyAlignment="1">
      <alignment horizontal="right" vertical="center"/>
    </xf>
    <xf numFmtId="0" fontId="5" fillId="0" borderId="17" xfId="0" applyFont="1" applyBorder="1" applyAlignment="1">
      <alignment horizontal="right" vertical="center"/>
    </xf>
    <xf numFmtId="0" fontId="4" fillId="10" borderId="6" xfId="0" applyFont="1" applyFill="1" applyBorder="1" applyAlignment="1">
      <alignment horizontal="left" vertical="center"/>
    </xf>
    <xf numFmtId="0" fontId="5" fillId="0" borderId="0" xfId="0" applyFont="1" applyBorder="1" applyAlignment="1">
      <alignment horizontal="right" vertical="center"/>
    </xf>
    <xf numFmtId="0" fontId="5" fillId="0" borderId="7" xfId="0" applyFont="1" applyBorder="1" applyAlignment="1">
      <alignment horizontal="right" vertical="center"/>
    </xf>
    <xf numFmtId="0" fontId="5" fillId="0" borderId="8" xfId="0" applyFont="1" applyBorder="1" applyAlignment="1">
      <alignment horizontal="right" vertical="center"/>
    </xf>
    <xf numFmtId="0" fontId="4" fillId="11" borderId="30" xfId="0" applyFont="1" applyFill="1" applyBorder="1" applyAlignment="1">
      <alignment horizontal="left" vertical="center"/>
    </xf>
    <xf numFmtId="0" fontId="5" fillId="9" borderId="31" xfId="0" applyFont="1" applyFill="1" applyBorder="1" applyAlignment="1">
      <alignment horizontal="left" vertical="center"/>
    </xf>
    <xf numFmtId="0" fontId="5" fillId="9" borderId="32" xfId="0" applyFont="1" applyFill="1" applyBorder="1" applyAlignment="1">
      <alignment horizontal="left" vertical="center"/>
    </xf>
    <xf numFmtId="0" fontId="5" fillId="9" borderId="33" xfId="0" applyFont="1" applyFill="1" applyBorder="1" applyAlignment="1">
      <alignment horizontal="left" vertical="center"/>
    </xf>
    <xf numFmtId="0" fontId="5" fillId="9" borderId="34" xfId="0" applyFont="1" applyFill="1" applyBorder="1" applyAlignment="1">
      <alignment horizontal="left" vertical="center"/>
    </xf>
    <xf numFmtId="0" fontId="0" fillId="0" borderId="6" xfId="0" applyFont="1" applyBorder="1" applyAlignment="1">
      <alignment horizontal="left" vertical="center"/>
    </xf>
    <xf numFmtId="0" fontId="5" fillId="0" borderId="0" xfId="0" applyFont="1" applyBorder="1" applyAlignment="1">
      <alignment horizontal="left" vertical="center"/>
    </xf>
    <xf numFmtId="180" fontId="5" fillId="0" borderId="0" xfId="0" applyNumberFormat="1" applyFont="1" applyBorder="1" applyAlignment="1">
      <alignment horizontal="right" vertical="center"/>
    </xf>
    <xf numFmtId="180" fontId="5" fillId="0" borderId="35" xfId="0" applyNumberFormat="1" applyFont="1" applyBorder="1" applyAlignment="1">
      <alignment horizontal="right" vertical="center"/>
    </xf>
    <xf numFmtId="0" fontId="5" fillId="0" borderId="15" xfId="0" applyFont="1" applyBorder="1" applyAlignment="1">
      <alignment horizontal="right" vertical="center"/>
    </xf>
    <xf numFmtId="0" fontId="9" fillId="12" borderId="36" xfId="0" applyFont="1" applyFill="1" applyBorder="1" applyAlignment="1">
      <alignment horizontal="left" vertical="center"/>
    </xf>
    <xf numFmtId="0" fontId="10" fillId="12" borderId="32" xfId="0" applyFont="1" applyFill="1" applyBorder="1" applyAlignment="1">
      <alignment horizontal="left" vertical="center"/>
    </xf>
    <xf numFmtId="3" fontId="9" fillId="12" borderId="32" xfId="0" applyNumberFormat="1" applyFont="1" applyFill="1" applyBorder="1" applyAlignment="1">
      <alignment horizontal="right" vertical="center"/>
    </xf>
    <xf numFmtId="3" fontId="9" fillId="12" borderId="33" xfId="0" applyNumberFormat="1" applyFont="1" applyFill="1" applyBorder="1" applyAlignment="1">
      <alignment horizontal="right" vertical="center"/>
    </xf>
    <xf numFmtId="3" fontId="9" fillId="12" borderId="34" xfId="0" applyNumberFormat="1" applyFont="1" applyFill="1" applyBorder="1" applyAlignment="1">
      <alignment horizontal="right" vertical="center"/>
    </xf>
    <xf numFmtId="0" fontId="0" fillId="0" borderId="0" xfId="0" applyFont="1" applyBorder="1" applyAlignment="1">
      <alignment horizontal="left" vertical="center"/>
    </xf>
    <xf numFmtId="0" fontId="11" fillId="0" borderId="0" xfId="0" applyFont="1" applyAlignment="1">
      <alignment horizontal="left" vertical="center" wrapText="1"/>
    </xf>
    <xf numFmtId="0" fontId="0" fillId="0" borderId="0" xfId="0" applyAlignment="1">
      <alignment horizontal="left" vertical="center" wrapText="1"/>
    </xf>
    <xf numFmtId="0" fontId="12" fillId="2" borderId="1" xfId="0" applyFont="1" applyFill="1" applyBorder="1" applyAlignment="1">
      <alignment horizontal="left" vertical="center" wrapText="1"/>
    </xf>
    <xf numFmtId="0" fontId="13" fillId="0" borderId="1" xfId="0" applyFont="1" applyBorder="1" applyAlignment="1">
      <alignment horizontal="left" vertical="center"/>
    </xf>
    <xf numFmtId="0" fontId="6" fillId="0" borderId="0" xfId="0" applyFont="1" applyAlignment="1">
      <alignment horizontal="left" vertical="center" wrapText="1"/>
    </xf>
    <xf numFmtId="0" fontId="3" fillId="0" borderId="3" xfId="0" applyFont="1" applyBorder="1"/>
    <xf numFmtId="0" fontId="14" fillId="0" borderId="4" xfId="0" applyFont="1" applyFill="1" applyBorder="1" applyAlignment="1">
      <alignment horizontal="left" vertical="center" wrapText="1"/>
    </xf>
    <xf numFmtId="3" fontId="5" fillId="3" borderId="5" xfId="0" applyNumberFormat="1" applyFont="1" applyFill="1" applyBorder="1"/>
    <xf numFmtId="0" fontId="0" fillId="0" borderId="0" xfId="0" applyBorder="1" applyAlignment="1">
      <alignment horizontal="center" vertical="top"/>
    </xf>
    <xf numFmtId="0" fontId="0" fillId="0" borderId="0" xfId="0" applyAlignment="1">
      <alignment vertical="top" wrapText="1"/>
    </xf>
    <xf numFmtId="0" fontId="14" fillId="0" borderId="6" xfId="0" applyFont="1" applyFill="1" applyBorder="1" applyAlignment="1">
      <alignment horizontal="left" vertical="center" wrapText="1"/>
    </xf>
    <xf numFmtId="3" fontId="5" fillId="3" borderId="25" xfId="0" applyNumberFormat="1" applyFont="1" applyFill="1" applyBorder="1"/>
    <xf numFmtId="0" fontId="0" fillId="0" borderId="6" xfId="0" applyBorder="1" applyAlignment="1">
      <alignment horizontal="center" vertical="top"/>
    </xf>
    <xf numFmtId="0" fontId="14" fillId="0" borderId="7" xfId="0" applyFont="1" applyFill="1" applyBorder="1" applyAlignment="1">
      <alignment horizontal="left" vertical="center" wrapText="1"/>
    </xf>
    <xf numFmtId="3" fontId="5" fillId="3" borderId="8" xfId="0" applyNumberFormat="1" applyFont="1" applyFill="1" applyBorder="1"/>
    <xf numFmtId="3" fontId="5" fillId="0" borderId="0" xfId="0" applyNumberFormat="1" applyFont="1" applyFill="1" applyBorder="1"/>
    <xf numFmtId="180" fontId="5" fillId="4" borderId="25" xfId="0" applyNumberFormat="1" applyFont="1" applyFill="1" applyBorder="1" applyProtection="1">
      <protection locked="0"/>
    </xf>
    <xf numFmtId="181" fontId="5" fillId="4" borderId="8" xfId="0" applyNumberFormat="1" applyFont="1" applyFill="1" applyBorder="1" applyProtection="1">
      <protection locked="0"/>
    </xf>
    <xf numFmtId="0" fontId="0" fillId="0" borderId="6" xfId="0" applyFont="1" applyBorder="1" applyAlignment="1">
      <alignment vertical="top" wrapText="1"/>
    </xf>
    <xf numFmtId="0" fontId="0" fillId="0" borderId="0" xfId="0" applyFont="1" applyBorder="1" applyAlignment="1">
      <alignment vertical="top" wrapText="1"/>
    </xf>
    <xf numFmtId="0" fontId="3" fillId="0" borderId="13" xfId="0" applyFont="1" applyBorder="1"/>
    <xf numFmtId="0" fontId="14" fillId="0" borderId="16" xfId="0" applyFont="1" applyBorder="1"/>
    <xf numFmtId="3" fontId="5" fillId="5" borderId="15" xfId="0" applyNumberFormat="1" applyFont="1" applyFill="1" applyBorder="1"/>
    <xf numFmtId="0" fontId="14" fillId="0" borderId="10" xfId="0" applyFont="1" applyBorder="1"/>
    <xf numFmtId="3" fontId="5" fillId="5" borderId="17" xfId="0" applyNumberFormat="1" applyFont="1" applyFill="1" applyBorder="1"/>
    <xf numFmtId="0" fontId="5" fillId="0" borderId="13" xfId="0" applyFont="1" applyBorder="1"/>
    <xf numFmtId="0" fontId="14" fillId="0" borderId="18" xfId="0" applyFont="1" applyBorder="1"/>
    <xf numFmtId="0" fontId="5" fillId="6" borderId="19" xfId="0" applyFont="1" applyFill="1" applyBorder="1"/>
    <xf numFmtId="0" fontId="14" fillId="0" borderId="20" xfId="0" applyFont="1" applyBorder="1"/>
    <xf numFmtId="0" fontId="5" fillId="0" borderId="0" xfId="0" applyFont="1" applyFill="1" applyBorder="1"/>
    <xf numFmtId="0" fontId="15" fillId="0" borderId="2" xfId="0" applyFont="1" applyBorder="1"/>
    <xf numFmtId="0" fontId="7" fillId="7" borderId="9" xfId="0" applyFont="1" applyFill="1" applyBorder="1"/>
    <xf numFmtId="0" fontId="8" fillId="8" borderId="22" xfId="0" applyFont="1" applyFill="1" applyBorder="1" applyAlignment="1">
      <alignment horizontal="right" vertical="center"/>
    </xf>
    <xf numFmtId="0" fontId="8" fillId="0" borderId="0" xfId="0" applyFont="1" applyFill="1" applyBorder="1" applyAlignment="1">
      <alignment horizontal="left" vertical="center"/>
    </xf>
    <xf numFmtId="3" fontId="8" fillId="0" borderId="0" xfId="0" applyNumberFormat="1" applyFont="1" applyFill="1" applyBorder="1" applyAlignment="1">
      <alignment horizontal="right" vertical="center"/>
    </xf>
    <xf numFmtId="0" fontId="0" fillId="0" borderId="22" xfId="0" applyFont="1" applyBorder="1" applyAlignment="1">
      <alignment horizontal="center"/>
    </xf>
    <xf numFmtId="49" fontId="3" fillId="9" borderId="8" xfId="0" applyNumberFormat="1" applyFont="1" applyFill="1" applyBorder="1" applyAlignment="1">
      <alignment horizontal="center" vertical="center" wrapText="1"/>
    </xf>
    <xf numFmtId="0" fontId="3" fillId="9" borderId="8" xfId="0" applyFont="1" applyFill="1" applyBorder="1" applyAlignment="1">
      <alignment horizontal="center" vertical="center" wrapText="1"/>
    </xf>
    <xf numFmtId="49" fontId="14" fillId="0" borderId="6" xfId="0" applyNumberFormat="1" applyFont="1" applyFill="1" applyBorder="1" applyAlignment="1">
      <alignment horizontal="left" vertical="center" wrapText="1"/>
    </xf>
    <xf numFmtId="180" fontId="14" fillId="6" borderId="6" xfId="0" applyNumberFormat="1" applyFont="1" applyFill="1" applyBorder="1" applyAlignment="1">
      <alignment horizontal="right" vertical="center" wrapText="1"/>
    </xf>
    <xf numFmtId="180" fontId="14" fillId="6" borderId="0" xfId="0" applyNumberFormat="1" applyFont="1" applyFill="1" applyBorder="1" applyAlignment="1">
      <alignment horizontal="right" vertical="center" wrapText="1"/>
    </xf>
    <xf numFmtId="1" fontId="14" fillId="6" borderId="0" xfId="0" applyNumberFormat="1" applyFont="1" applyFill="1" applyBorder="1" applyAlignment="1">
      <alignment horizontal="right" vertical="center" wrapText="1"/>
    </xf>
    <xf numFmtId="0" fontId="14" fillId="0" borderId="26" xfId="0" applyFont="1" applyFill="1" applyBorder="1" applyAlignment="1">
      <alignment horizontal="right" vertical="center" wrapText="1"/>
    </xf>
    <xf numFmtId="0" fontId="14" fillId="0" borderId="27" xfId="0" applyFont="1" applyFill="1" applyBorder="1" applyAlignment="1">
      <alignment horizontal="right" vertical="center" wrapText="1"/>
    </xf>
    <xf numFmtId="0" fontId="14" fillId="0" borderId="28" xfId="0" applyFont="1" applyFill="1" applyBorder="1" applyAlignment="1">
      <alignment horizontal="right" vertical="center" wrapText="1"/>
    </xf>
    <xf numFmtId="0" fontId="14" fillId="0" borderId="6" xfId="0" applyFont="1" applyFill="1" applyBorder="1" applyAlignment="1">
      <alignment horizontal="right" vertical="center" wrapText="1"/>
    </xf>
    <xf numFmtId="0" fontId="14" fillId="0" borderId="0" xfId="0" applyFont="1" applyFill="1" applyBorder="1" applyAlignment="1">
      <alignment horizontal="right" vertical="center" wrapText="1"/>
    </xf>
    <xf numFmtId="0" fontId="14" fillId="0" borderId="15" xfId="0" applyFont="1" applyFill="1" applyBorder="1" applyAlignment="1">
      <alignment horizontal="right" vertical="center" wrapText="1"/>
    </xf>
    <xf numFmtId="0" fontId="14" fillId="0" borderId="6" xfId="0" applyFont="1" applyFill="1" applyBorder="1" applyAlignment="1">
      <alignment horizontal="left"/>
    </xf>
    <xf numFmtId="0" fontId="14" fillId="6" borderId="6" xfId="0" applyFont="1" applyFill="1" applyBorder="1" applyAlignment="1">
      <alignment horizontal="right" vertical="center" wrapText="1"/>
    </xf>
    <xf numFmtId="0" fontId="14" fillId="6" borderId="0" xfId="0" applyFont="1" applyFill="1" applyBorder="1" applyAlignment="1">
      <alignment horizontal="right" vertical="center" wrapText="1"/>
    </xf>
    <xf numFmtId="0" fontId="5" fillId="0" borderId="15" xfId="0" applyFont="1" applyFill="1" applyBorder="1" applyAlignment="1">
      <alignment horizontal="right"/>
    </xf>
    <xf numFmtId="0" fontId="14" fillId="0" borderId="6" xfId="0" applyFont="1" applyBorder="1" applyAlignment="1">
      <alignment horizontal="left"/>
    </xf>
    <xf numFmtId="0" fontId="16" fillId="10" borderId="2" xfId="0" applyFont="1" applyFill="1" applyBorder="1" applyAlignment="1">
      <alignment horizontal="left" vertical="center" wrapText="1"/>
    </xf>
    <xf numFmtId="0" fontId="5" fillId="0" borderId="24" xfId="0" applyFont="1" applyBorder="1" applyAlignment="1">
      <alignment horizontal="right"/>
    </xf>
    <xf numFmtId="0" fontId="5" fillId="0" borderId="2" xfId="0" applyFont="1" applyBorder="1" applyAlignment="1">
      <alignment horizontal="right"/>
    </xf>
    <xf numFmtId="0" fontId="5" fillId="0" borderId="22" xfId="0" applyFont="1" applyBorder="1" applyAlignment="1">
      <alignment horizontal="right"/>
    </xf>
    <xf numFmtId="0" fontId="16" fillId="11" borderId="21" xfId="0" applyFont="1" applyFill="1" applyBorder="1" applyAlignment="1">
      <alignment horizontal="left" vertical="center" wrapText="1"/>
    </xf>
    <xf numFmtId="0" fontId="5" fillId="9" borderId="24" xfId="0" applyFont="1" applyFill="1" applyBorder="1" applyAlignment="1">
      <alignment horizontal="right"/>
    </xf>
    <xf numFmtId="0" fontId="5" fillId="9" borderId="22" xfId="0" applyFont="1" applyFill="1" applyBorder="1" applyAlignment="1">
      <alignment horizontal="right"/>
    </xf>
    <xf numFmtId="0" fontId="17" fillId="0" borderId="6" xfId="0" applyFont="1" applyBorder="1" applyAlignment="1">
      <alignment horizontal="left" vertical="center" wrapText="1"/>
    </xf>
    <xf numFmtId="0" fontId="5" fillId="0" borderId="0" xfId="0" applyFont="1" applyBorder="1" applyAlignment="1">
      <alignment horizontal="right"/>
    </xf>
    <xf numFmtId="180" fontId="5" fillId="0" borderId="0" xfId="0" applyNumberFormat="1" applyFont="1" applyBorder="1" applyAlignment="1">
      <alignment horizontal="right"/>
    </xf>
    <xf numFmtId="0" fontId="5" fillId="0" borderId="15" xfId="0" applyFont="1" applyBorder="1" applyAlignment="1">
      <alignment horizontal="right"/>
    </xf>
    <xf numFmtId="0" fontId="6" fillId="12" borderId="7" xfId="0" applyFont="1" applyFill="1" applyBorder="1" applyAlignment="1">
      <alignment horizontal="left"/>
    </xf>
    <xf numFmtId="0" fontId="5" fillId="12" borderId="29" xfId="0" applyFont="1" applyFill="1" applyBorder="1" applyAlignment="1">
      <alignment horizontal="right"/>
    </xf>
    <xf numFmtId="3" fontId="3" fillId="12" borderId="29" xfId="0" applyNumberFormat="1" applyFont="1" applyFill="1" applyBorder="1" applyAlignment="1">
      <alignment horizontal="right"/>
    </xf>
    <xf numFmtId="3" fontId="3" fillId="12" borderId="17" xfId="0" applyNumberFormat="1" applyFont="1" applyFill="1" applyBorder="1" applyAlignment="1">
      <alignment horizontal="right"/>
    </xf>
    <xf numFmtId="0" fontId="0" fillId="0" borderId="6" xfId="0" applyBorder="1"/>
    <xf numFmtId="0" fontId="0" fillId="0" borderId="0" xfId="0" applyFont="1" applyBorder="1" applyAlignment="1">
      <alignment horizontal="right"/>
    </xf>
    <xf numFmtId="0" fontId="0" fillId="0" borderId="0" xfId="0" applyFont="1" applyFill="1"/>
    <xf numFmtId="0" fontId="18" fillId="0" borderId="0" xfId="0" applyFont="1" applyFill="1"/>
    <xf numFmtId="0" fontId="4" fillId="0" borderId="0" xfId="0" applyFont="1"/>
    <xf numFmtId="0" fontId="4" fillId="0" borderId="5" xfId="0" applyFont="1" applyFill="1" applyBorder="1"/>
    <xf numFmtId="0" fontId="0" fillId="0" borderId="6" xfId="0" applyBorder="1" applyAlignment="1">
      <alignment vertical="top" wrapText="1"/>
    </xf>
    <xf numFmtId="0" fontId="0" fillId="0" borderId="0" xfId="0" applyBorder="1" applyAlignment="1">
      <alignment vertical="top" wrapText="1"/>
    </xf>
    <xf numFmtId="3" fontId="5" fillId="13" borderId="5" xfId="0" applyNumberFormat="1" applyFont="1" applyFill="1" applyBorder="1" applyProtection="1">
      <protection locked="0"/>
    </xf>
    <xf numFmtId="0" fontId="0" fillId="0" borderId="6" xfId="0" applyFont="1" applyBorder="1"/>
    <xf numFmtId="3" fontId="5" fillId="13" borderId="25" xfId="0" applyNumberFormat="1" applyFont="1" applyFill="1" applyBorder="1" applyProtection="1">
      <protection locked="0"/>
    </xf>
    <xf numFmtId="0" fontId="0" fillId="0" borderId="7" xfId="0" applyFont="1" applyBorder="1"/>
    <xf numFmtId="9" fontId="5" fillId="13" borderId="8" xfId="0" applyNumberFormat="1" applyFont="1" applyFill="1" applyBorder="1" applyProtection="1">
      <protection locked="0"/>
    </xf>
    <xf numFmtId="0" fontId="14" fillId="0" borderId="0" xfId="0" applyFont="1" applyBorder="1"/>
    <xf numFmtId="0" fontId="4" fillId="0" borderId="37" xfId="0" applyFont="1" applyFill="1" applyBorder="1"/>
    <xf numFmtId="0" fontId="4" fillId="0" borderId="38" xfId="0" applyFont="1" applyFill="1" applyBorder="1"/>
    <xf numFmtId="0" fontId="4" fillId="0" borderId="38" xfId="0" applyFont="1" applyFill="1" applyBorder="1" applyAlignment="1">
      <alignment horizontal="center"/>
    </xf>
    <xf numFmtId="0" fontId="4" fillId="0" borderId="39" xfId="0" applyFont="1" applyFill="1" applyBorder="1" applyAlignment="1">
      <alignment horizontal="center" vertical="center"/>
    </xf>
    <xf numFmtId="0" fontId="4" fillId="0" borderId="24" xfId="0" applyFont="1" applyFill="1" applyBorder="1" applyAlignment="1">
      <alignment horizontal="center" vertical="center"/>
    </xf>
    <xf numFmtId="0" fontId="4" fillId="0" borderId="22" xfId="0" applyFont="1" applyFill="1" applyBorder="1" applyAlignment="1">
      <alignment horizontal="center" vertical="center"/>
    </xf>
    <xf numFmtId="0" fontId="0" fillId="0" borderId="0" xfId="0" applyFont="1" applyAlignment="1">
      <alignment horizontal="center" vertical="top" wrapText="1"/>
    </xf>
    <xf numFmtId="0" fontId="1" fillId="14" borderId="2" xfId="0" applyFont="1" applyFill="1" applyBorder="1" applyAlignment="1">
      <alignment horizontal="left" vertical="center"/>
    </xf>
    <xf numFmtId="0" fontId="8" fillId="14" borderId="24" xfId="0" applyFont="1" applyFill="1" applyBorder="1" applyAlignment="1">
      <alignment horizontal="left" vertical="center"/>
    </xf>
    <xf numFmtId="3" fontId="1" fillId="14" borderId="24" xfId="0" applyNumberFormat="1" applyFont="1" applyFill="1" applyBorder="1" applyAlignment="1">
      <alignment horizontal="right" vertical="center"/>
    </xf>
    <xf numFmtId="3" fontId="1" fillId="14" borderId="22" xfId="0" applyNumberFormat="1" applyFont="1" applyFill="1" applyBorder="1" applyAlignment="1">
      <alignment horizontal="right" vertical="center"/>
    </xf>
    <xf numFmtId="0" fontId="0" fillId="0" borderId="0" xfId="0" applyFont="1" applyBorder="1" applyAlignment="1">
      <alignment vertical="top"/>
    </xf>
    <xf numFmtId="0" fontId="19" fillId="8" borderId="2" xfId="0" applyFont="1" applyFill="1" applyBorder="1" applyAlignment="1">
      <alignment horizontal="left" vertical="center"/>
    </xf>
    <xf numFmtId="0" fontId="1" fillId="8" borderId="22" xfId="0" applyFont="1" applyFill="1" applyBorder="1" applyAlignment="1">
      <alignment horizontal="right" vertical="center"/>
    </xf>
    <xf numFmtId="0" fontId="0" fillId="0" borderId="27" xfId="0" applyFont="1" applyBorder="1" applyAlignment="1">
      <alignment vertical="top"/>
    </xf>
    <xf numFmtId="0" fontId="0" fillId="0" borderId="27" xfId="0" applyBorder="1" applyAlignment="1">
      <alignment vertical="top"/>
    </xf>
    <xf numFmtId="0" fontId="13" fillId="0" borderId="0" xfId="0" applyFont="1" applyBorder="1" applyAlignment="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4"/>
  <sheetViews>
    <sheetView zoomScale="85" zoomScaleNormal="85" workbookViewId="0">
      <selection activeCell="A28" sqref="A28"/>
    </sheetView>
  </sheetViews>
  <sheetFormatPr defaultColWidth="9" defaultRowHeight="13.2"/>
  <cols>
    <col min="1" max="1" width="74.5740740740741" customWidth="1"/>
    <col min="2" max="2" width="20.1388888888889" customWidth="1"/>
    <col min="3" max="3" width="20.5740740740741" customWidth="1"/>
    <col min="4" max="4" width="11.1388888888889" customWidth="1"/>
    <col min="5" max="5" width="14.5740740740741" customWidth="1"/>
    <col min="6" max="6" width="12.5740740740741" customWidth="1"/>
    <col min="9" max="9" width="17.6388888888889" customWidth="1"/>
  </cols>
  <sheetData>
    <row r="1" ht="18.15" spans="1:1">
      <c r="A1" s="106" t="s">
        <v>0</v>
      </c>
    </row>
    <row r="2" ht="13.95" spans="1:3">
      <c r="A2" s="107" t="s">
        <v>1</v>
      </c>
      <c r="B2" s="174"/>
      <c r="C2" s="174"/>
    </row>
    <row r="3" customFormat="1" ht="20.4" spans="1:9">
      <c r="A3" s="175"/>
      <c r="B3" s="174"/>
      <c r="C3" s="174"/>
      <c r="I3" s="202"/>
    </row>
    <row r="5" customFormat="1" ht="13.95" spans="1:1">
      <c r="A5" s="176" t="s">
        <v>2</v>
      </c>
    </row>
    <row r="6" customFormat="1" ht="13.5" customHeight="1" spans="1:6">
      <c r="A6" s="7" t="s">
        <v>3</v>
      </c>
      <c r="B6" s="177" t="s">
        <v>4</v>
      </c>
      <c r="C6" s="178"/>
      <c r="D6" s="179"/>
      <c r="E6" s="179"/>
      <c r="F6" s="179"/>
    </row>
    <row r="7" customFormat="1" ht="12.75" customHeight="1" spans="1:6">
      <c r="A7" s="172" t="s">
        <v>5</v>
      </c>
      <c r="B7" s="180">
        <v>100000000</v>
      </c>
      <c r="C7" s="12" t="s">
        <v>6</v>
      </c>
      <c r="D7" s="13"/>
      <c r="E7" s="13"/>
      <c r="F7" s="179"/>
    </row>
    <row r="8" customFormat="1" spans="1:6">
      <c r="A8" s="181" t="s">
        <v>7</v>
      </c>
      <c r="B8" s="182">
        <v>5000</v>
      </c>
      <c r="C8" s="12"/>
      <c r="D8" s="13"/>
      <c r="E8" s="13"/>
      <c r="F8" s="179"/>
    </row>
    <row r="9" customFormat="1" spans="1:6">
      <c r="A9" s="181" t="s">
        <v>8</v>
      </c>
      <c r="B9" s="182">
        <v>50</v>
      </c>
      <c r="C9" s="12"/>
      <c r="D9" s="13"/>
      <c r="E9" s="13"/>
      <c r="F9" s="179"/>
    </row>
    <row r="10" customFormat="1" ht="13.95" spans="1:6">
      <c r="A10" s="183" t="s">
        <v>9</v>
      </c>
      <c r="B10" s="184">
        <v>0.1</v>
      </c>
      <c r="C10" s="12"/>
      <c r="D10" s="13"/>
      <c r="E10" s="13"/>
      <c r="F10" s="179"/>
    </row>
    <row r="11" customFormat="1" spans="3:3">
      <c r="C11" s="45"/>
    </row>
    <row r="12" customFormat="1" spans="1:2">
      <c r="A12" s="185"/>
      <c r="B12" s="119"/>
    </row>
    <row r="13" ht="13.95"/>
    <row r="14" ht="13.5" customHeight="1" spans="1:13">
      <c r="A14" s="186" t="s">
        <v>10</v>
      </c>
      <c r="B14" s="187" t="s">
        <v>11</v>
      </c>
      <c r="C14" s="188" t="s">
        <v>12</v>
      </c>
      <c r="D14" s="189" t="s">
        <v>13</v>
      </c>
      <c r="E14" s="190" t="s">
        <v>14</v>
      </c>
      <c r="F14" s="191" t="s">
        <v>15</v>
      </c>
      <c r="G14" s="192" t="s">
        <v>16</v>
      </c>
      <c r="H14" s="192"/>
      <c r="I14" s="192"/>
      <c r="J14" s="113"/>
      <c r="K14" s="14"/>
      <c r="L14" s="14"/>
      <c r="M14" s="14"/>
    </row>
    <row r="15" spans="1:13">
      <c r="A15" s="172" t="s">
        <v>17</v>
      </c>
      <c r="B15" s="119">
        <f>'Registrations Upload &amp; SyncData'!B17</f>
        <v>250000</v>
      </c>
      <c r="C15" s="133">
        <f>'Registrations Upload &amp; SyncData'!B19</f>
        <v>84</v>
      </c>
      <c r="D15" s="133">
        <f>'Registrations Upload &amp; SyncData'!E29</f>
        <v>250</v>
      </c>
      <c r="E15" s="133">
        <f>'Registrations Upload &amp; SyncData'!F29</f>
        <v>674</v>
      </c>
      <c r="F15" s="133">
        <f>'Registrations Upload &amp; SyncData'!G29</f>
        <v>102</v>
      </c>
      <c r="G15" s="192"/>
      <c r="H15" s="192"/>
      <c r="I15" s="192"/>
      <c r="J15" s="113"/>
      <c r="K15" s="14"/>
      <c r="L15" s="14"/>
      <c r="M15" s="14"/>
    </row>
    <row r="16" ht="13.95" spans="1:13">
      <c r="A16" s="172" t="s">
        <v>18</v>
      </c>
      <c r="B16" s="119">
        <f>IDAuthentication!B16</f>
        <v>10000000</v>
      </c>
      <c r="C16" s="133">
        <f>IDAuthentication!B18</f>
        <v>223</v>
      </c>
      <c r="D16" s="133">
        <f>IDAuthentication!E27</f>
        <v>217</v>
      </c>
      <c r="E16" s="133">
        <f>IDAuthentication!F27</f>
        <v>697</v>
      </c>
      <c r="F16" s="133">
        <f>IDAuthentication!G27</f>
        <v>87</v>
      </c>
      <c r="G16" s="192"/>
      <c r="H16" s="192"/>
      <c r="I16" s="192"/>
      <c r="J16" s="113"/>
      <c r="K16" s="14"/>
      <c r="L16" s="14"/>
      <c r="M16" s="14"/>
    </row>
    <row r="17" ht="21.75" spans="1:13">
      <c r="A17" s="193" t="s">
        <v>19</v>
      </c>
      <c r="B17" s="194"/>
      <c r="C17" s="194"/>
      <c r="D17" s="195">
        <f>SUM(D15:D16)</f>
        <v>467</v>
      </c>
      <c r="E17" s="195">
        <f>SUM(E15:E16)</f>
        <v>1371</v>
      </c>
      <c r="F17" s="196">
        <f>SUM(F15:F16)</f>
        <v>189</v>
      </c>
      <c r="G17" s="192"/>
      <c r="H17" s="192"/>
      <c r="I17" s="192"/>
      <c r="J17" s="113"/>
      <c r="K17" s="14"/>
      <c r="L17" s="14"/>
      <c r="M17" s="14"/>
    </row>
    <row r="18" ht="13.95" spans="1:11">
      <c r="A18" s="45"/>
      <c r="B18" s="45"/>
      <c r="C18" s="197"/>
      <c r="D18" s="20"/>
      <c r="E18" s="20"/>
      <c r="F18" s="20"/>
      <c r="G18" s="192"/>
      <c r="H18" s="192"/>
      <c r="I18" s="192"/>
      <c r="J18" s="113"/>
      <c r="K18" s="113"/>
    </row>
    <row r="19" customFormat="1" ht="21.75" spans="1:11">
      <c r="A19" s="198" t="s">
        <v>20</v>
      </c>
      <c r="B19" s="199">
        <f>'Registrations Upload &amp; SyncData'!B27</f>
        <v>400</v>
      </c>
      <c r="C19" s="20"/>
      <c r="D19" s="20"/>
      <c r="E19" s="20"/>
      <c r="F19" s="20"/>
      <c r="G19" s="192"/>
      <c r="H19" s="192"/>
      <c r="I19" s="192"/>
      <c r="J19" s="113"/>
      <c r="K19" s="113"/>
    </row>
    <row r="20" spans="1:6">
      <c r="A20" s="200"/>
      <c r="B20" s="201"/>
      <c r="C20" s="20"/>
      <c r="D20" s="20"/>
      <c r="E20" s="20"/>
      <c r="F20" s="20"/>
    </row>
    <row r="21" ht="15" customHeight="1" spans="1:2">
      <c r="A21" s="20"/>
      <c r="B21" s="20"/>
    </row>
    <row r="24" spans="1:1">
      <c r="A24" s="9" t="s">
        <v>21</v>
      </c>
    </row>
  </sheetData>
  <mergeCells count="2">
    <mergeCell ref="C7:E10"/>
    <mergeCell ref="G14:I19"/>
  </mergeCell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6"/>
  <sheetViews>
    <sheetView tabSelected="1" zoomScale="70" zoomScaleNormal="70" topLeftCell="A5" workbookViewId="0">
      <selection activeCell="K20" sqref="K20"/>
    </sheetView>
  </sheetViews>
  <sheetFormatPr defaultColWidth="8.85185185185185" defaultRowHeight="13.2"/>
  <cols>
    <col min="1" max="1" width="80.287037037037" customWidth="1"/>
    <col min="2" max="2" width="15.1388888888889" customWidth="1"/>
    <col min="3" max="3" width="11.8518518518519" customWidth="1"/>
    <col min="4" max="4" width="14.287037037037" customWidth="1"/>
    <col min="5" max="5" width="13.5740740740741" customWidth="1"/>
    <col min="6" max="6" width="13.8518518518519" customWidth="1"/>
    <col min="7" max="7" width="13" customWidth="1"/>
    <col min="11" max="11" width="17.4259259259259" customWidth="1"/>
  </cols>
  <sheetData>
    <row r="1" ht="18.15" spans="1:1">
      <c r="A1" s="106" t="s">
        <v>22</v>
      </c>
    </row>
    <row r="2" ht="13.95" spans="1:1">
      <c r="A2" s="107" t="s">
        <v>23</v>
      </c>
    </row>
    <row r="5" ht="13.95" spans="1:11">
      <c r="A5" s="108" t="s">
        <v>2</v>
      </c>
      <c r="K5" s="9"/>
    </row>
    <row r="6" ht="13.95" spans="1:2">
      <c r="A6" s="7" t="s">
        <v>3</v>
      </c>
      <c r="B6" s="109" t="s">
        <v>4</v>
      </c>
    </row>
    <row r="7" ht="12.75" customHeight="1" spans="1:7">
      <c r="A7" s="110" t="s">
        <v>5</v>
      </c>
      <c r="B7" s="111">
        <v>100000000</v>
      </c>
      <c r="C7" s="12" t="s">
        <v>24</v>
      </c>
      <c r="D7" s="112"/>
      <c r="G7" s="113"/>
    </row>
    <row r="8" spans="1:7">
      <c r="A8" s="114" t="s">
        <v>7</v>
      </c>
      <c r="B8" s="115">
        <v>5000</v>
      </c>
      <c r="C8" s="116"/>
      <c r="D8" s="112"/>
      <c r="G8" s="113"/>
    </row>
    <row r="9" ht="13.95" spans="1:11">
      <c r="A9" s="117" t="s">
        <v>8</v>
      </c>
      <c r="B9" s="118">
        <v>50</v>
      </c>
      <c r="C9" s="116"/>
      <c r="D9" s="112"/>
      <c r="G9" s="113"/>
      <c r="K9" s="9"/>
    </row>
    <row r="10" customFormat="1" spans="1:11">
      <c r="A10" s="114"/>
      <c r="B10" s="119"/>
      <c r="K10" s="9"/>
    </row>
    <row r="11" customFormat="1" ht="13.95" spans="1:11">
      <c r="A11" s="21" t="s">
        <v>25</v>
      </c>
      <c r="B11" s="119"/>
      <c r="K11" s="9"/>
    </row>
    <row r="12" customFormat="1" ht="13.95" spans="1:11">
      <c r="A12" s="22" t="s">
        <v>26</v>
      </c>
      <c r="B12" s="23" t="s">
        <v>4</v>
      </c>
      <c r="K12" s="9"/>
    </row>
    <row r="13" ht="13.5" customHeight="1" spans="1:7">
      <c r="A13" s="114" t="s">
        <v>27</v>
      </c>
      <c r="B13" s="120">
        <v>1</v>
      </c>
      <c r="C13" s="26" t="s">
        <v>28</v>
      </c>
      <c r="D13" s="27"/>
      <c r="E13" s="27"/>
      <c r="F13" s="27"/>
      <c r="G13" s="27"/>
    </row>
    <row r="14" ht="13.95" spans="1:7">
      <c r="A14" s="117" t="s">
        <v>29</v>
      </c>
      <c r="B14" s="121">
        <v>1.2</v>
      </c>
      <c r="C14" s="122"/>
      <c r="D14" s="123"/>
      <c r="G14" s="123"/>
    </row>
    <row r="15" ht="13.95"/>
    <row r="16" ht="13.95" spans="1:2">
      <c r="A16" s="36" t="s">
        <v>30</v>
      </c>
      <c r="B16" s="124" t="s">
        <v>4</v>
      </c>
    </row>
    <row r="17" customFormat="1" spans="1:2">
      <c r="A17" s="125" t="s">
        <v>31</v>
      </c>
      <c r="B17" s="126">
        <f>B8*B9</f>
        <v>250000</v>
      </c>
    </row>
    <row r="18" customFormat="1" spans="1:2">
      <c r="A18" s="125" t="s">
        <v>32</v>
      </c>
      <c r="B18" s="126">
        <f>B17*B14</f>
        <v>300000</v>
      </c>
    </row>
    <row r="19" ht="13.95" spans="1:2">
      <c r="A19" s="127" t="s">
        <v>33</v>
      </c>
      <c r="B19" s="128">
        <f>CEILING(B18/B13/3600,1)</f>
        <v>84</v>
      </c>
    </row>
    <row r="20" ht="13.95" spans="10:10">
      <c r="J20" s="9"/>
    </row>
    <row r="21" ht="13.95" spans="1:2">
      <c r="A21" s="36" t="s">
        <v>34</v>
      </c>
      <c r="B21" s="129"/>
    </row>
    <row r="22" ht="13.95" spans="1:4">
      <c r="A22" s="130" t="s">
        <v>35</v>
      </c>
      <c r="B22" s="131">
        <v>22.5</v>
      </c>
      <c r="D22" s="9"/>
    </row>
    <row r="23" customFormat="1" ht="13.95" spans="1:4">
      <c r="A23" s="132"/>
      <c r="B23" s="133"/>
      <c r="D23" s="9"/>
    </row>
    <row r="24" ht="18.15" spans="1:2">
      <c r="A24" s="134" t="s">
        <v>36</v>
      </c>
      <c r="B24" s="135">
        <f>CEILING(B19/B22,1)</f>
        <v>4</v>
      </c>
    </row>
    <row r="26" ht="13.95"/>
    <row r="27" customFormat="1" ht="21.15" spans="1:2">
      <c r="A27" s="47" t="s">
        <v>20</v>
      </c>
      <c r="B27" s="136">
        <f>CEILING(B7/B17,1)</f>
        <v>400</v>
      </c>
    </row>
    <row r="28" customFormat="1" ht="13.95" spans="1:7">
      <c r="A28" s="45"/>
      <c r="B28" s="45"/>
      <c r="C28" s="45"/>
      <c r="D28" s="45"/>
      <c r="E28" s="46" t="s">
        <v>13</v>
      </c>
      <c r="F28" s="46" t="s">
        <v>37</v>
      </c>
      <c r="G28" s="46" t="s">
        <v>15</v>
      </c>
    </row>
    <row r="29" ht="21.15" spans="1:7">
      <c r="A29" s="47" t="s">
        <v>38</v>
      </c>
      <c r="B29" s="48"/>
      <c r="C29" s="48"/>
      <c r="D29" s="48"/>
      <c r="E29" s="49">
        <f>E53</f>
        <v>250</v>
      </c>
      <c r="F29" s="49">
        <f>F53</f>
        <v>674</v>
      </c>
      <c r="G29" s="50">
        <f>G53</f>
        <v>102</v>
      </c>
    </row>
    <row r="30" customFormat="1" ht="20.4" spans="1:7">
      <c r="A30" s="137"/>
      <c r="B30" s="137"/>
      <c r="C30" s="137"/>
      <c r="D30" s="137"/>
      <c r="E30" s="138"/>
      <c r="F30" s="138"/>
      <c r="G30" s="138"/>
    </row>
    <row r="31" ht="13.95" spans="1:2">
      <c r="A31" s="6" t="s">
        <v>39</v>
      </c>
      <c r="B31" s="9"/>
    </row>
    <row r="32" ht="13.95" spans="1:7">
      <c r="A32" s="6"/>
      <c r="B32" s="51" t="s">
        <v>40</v>
      </c>
      <c r="C32" s="52"/>
      <c r="D32" s="52"/>
      <c r="E32" s="51" t="s">
        <v>41</v>
      </c>
      <c r="F32" s="52"/>
      <c r="G32" s="139"/>
    </row>
    <row r="33" ht="12.75" customHeight="1" spans="1:7">
      <c r="A33" s="55" t="s">
        <v>42</v>
      </c>
      <c r="B33" s="56" t="s">
        <v>43</v>
      </c>
      <c r="C33" s="57" t="s">
        <v>44</v>
      </c>
      <c r="D33" s="57" t="str">
        <f>"Pods 
required
for 
"&amp;B22&amp;" TPS"</f>
        <v>Pods 
required
for 
22.5 TPS</v>
      </c>
      <c r="E33" s="57" t="s">
        <v>45</v>
      </c>
      <c r="F33" s="57" t="s">
        <v>46</v>
      </c>
      <c r="G33" s="57" t="s">
        <v>47</v>
      </c>
    </row>
    <row r="34" customFormat="1" spans="1:7">
      <c r="A34" s="58"/>
      <c r="B34" s="59"/>
      <c r="C34" s="60"/>
      <c r="D34" s="60"/>
      <c r="E34" s="60"/>
      <c r="F34" s="60"/>
      <c r="G34" s="60"/>
    </row>
    <row r="35" customFormat="1" spans="1:7">
      <c r="A35" s="58"/>
      <c r="B35" s="59"/>
      <c r="C35" s="60"/>
      <c r="D35" s="60"/>
      <c r="E35" s="60"/>
      <c r="F35" s="60"/>
      <c r="G35" s="60"/>
    </row>
    <row r="36" customFormat="1" ht="13.95" spans="1:7">
      <c r="A36" s="61"/>
      <c r="B36" s="140"/>
      <c r="C36" s="141"/>
      <c r="D36" s="141"/>
      <c r="E36" s="141"/>
      <c r="F36" s="141"/>
      <c r="G36" s="141"/>
    </row>
    <row r="37" spans="1:7">
      <c r="A37" s="142" t="s">
        <v>48</v>
      </c>
      <c r="B37" s="143">
        <v>1</v>
      </c>
      <c r="C37" s="144">
        <v>1</v>
      </c>
      <c r="D37" s="145">
        <v>2</v>
      </c>
      <c r="E37" s="146">
        <f>$G37*B37</f>
        <v>8</v>
      </c>
      <c r="F37" s="147">
        <f>$G37*C37</f>
        <v>8</v>
      </c>
      <c r="G37" s="148">
        <f t="shared" ref="G37:G45" si="0">$B$24*D37</f>
        <v>8</v>
      </c>
    </row>
    <row r="38" spans="1:7">
      <c r="A38" s="142" t="s">
        <v>49</v>
      </c>
      <c r="B38" s="143">
        <v>0.7</v>
      </c>
      <c r="C38" s="144">
        <v>1.5</v>
      </c>
      <c r="D38" s="145">
        <v>2</v>
      </c>
      <c r="E38" s="149">
        <f t="shared" ref="E38:E46" si="1">$G38*B38</f>
        <v>5.6</v>
      </c>
      <c r="F38" s="150">
        <f t="shared" ref="F38:F47" si="2">$G38*C38</f>
        <v>12</v>
      </c>
      <c r="G38" s="151">
        <f t="shared" si="0"/>
        <v>8</v>
      </c>
    </row>
    <row r="39" spans="1:7">
      <c r="A39" s="142" t="s">
        <v>50</v>
      </c>
      <c r="B39" s="143">
        <v>1</v>
      </c>
      <c r="C39" s="144">
        <v>5</v>
      </c>
      <c r="D39" s="145">
        <v>2</v>
      </c>
      <c r="E39" s="149">
        <f t="shared" si="1"/>
        <v>8</v>
      </c>
      <c r="F39" s="150">
        <f t="shared" si="2"/>
        <v>40</v>
      </c>
      <c r="G39" s="151">
        <f t="shared" si="0"/>
        <v>8</v>
      </c>
    </row>
    <row r="40" spans="1:7">
      <c r="A40" s="142" t="s">
        <v>51</v>
      </c>
      <c r="B40" s="143">
        <v>2</v>
      </c>
      <c r="C40" s="144">
        <v>2.5</v>
      </c>
      <c r="D40" s="145">
        <v>3</v>
      </c>
      <c r="E40" s="149">
        <f t="shared" si="1"/>
        <v>24</v>
      </c>
      <c r="F40" s="150">
        <f t="shared" si="2"/>
        <v>30</v>
      </c>
      <c r="G40" s="151">
        <f t="shared" si="0"/>
        <v>12</v>
      </c>
    </row>
    <row r="41" customFormat="1" spans="1:7">
      <c r="A41" s="142" t="s">
        <v>52</v>
      </c>
      <c r="B41" s="143">
        <v>2</v>
      </c>
      <c r="C41" s="144">
        <v>6</v>
      </c>
      <c r="D41" s="145">
        <v>4</v>
      </c>
      <c r="E41" s="149">
        <f t="shared" si="1"/>
        <v>32</v>
      </c>
      <c r="F41" s="150">
        <f t="shared" si="2"/>
        <v>96</v>
      </c>
      <c r="G41" s="151">
        <f t="shared" si="0"/>
        <v>16</v>
      </c>
    </row>
    <row r="42" customFormat="1" spans="1:7">
      <c r="A42" s="142" t="s">
        <v>53</v>
      </c>
      <c r="B42" s="143">
        <v>0.5</v>
      </c>
      <c r="C42" s="144">
        <v>2.25</v>
      </c>
      <c r="D42" s="145">
        <v>2</v>
      </c>
      <c r="E42" s="149">
        <f t="shared" si="1"/>
        <v>4</v>
      </c>
      <c r="F42" s="150">
        <f t="shared" si="2"/>
        <v>18</v>
      </c>
      <c r="G42" s="151">
        <f t="shared" si="0"/>
        <v>8</v>
      </c>
    </row>
    <row r="43" customFormat="1" spans="1:7">
      <c r="A43" s="142" t="s">
        <v>54</v>
      </c>
      <c r="B43" s="143">
        <v>2</v>
      </c>
      <c r="C43" s="144">
        <v>5</v>
      </c>
      <c r="D43" s="145">
        <v>2</v>
      </c>
      <c r="E43" s="149">
        <f t="shared" si="1"/>
        <v>16</v>
      </c>
      <c r="F43" s="150">
        <f t="shared" si="2"/>
        <v>40</v>
      </c>
      <c r="G43" s="151">
        <f t="shared" si="0"/>
        <v>8</v>
      </c>
    </row>
    <row r="44" customFormat="1" spans="1:7">
      <c r="A44" s="142" t="s">
        <v>55</v>
      </c>
      <c r="B44" s="143">
        <v>1</v>
      </c>
      <c r="C44" s="144">
        <v>5</v>
      </c>
      <c r="D44" s="145">
        <v>3</v>
      </c>
      <c r="E44" s="149">
        <f t="shared" si="1"/>
        <v>12</v>
      </c>
      <c r="F44" s="150">
        <f t="shared" si="2"/>
        <v>60</v>
      </c>
      <c r="G44" s="151">
        <f t="shared" si="0"/>
        <v>12</v>
      </c>
    </row>
    <row r="45" spans="1:7">
      <c r="A45" s="142" t="s">
        <v>56</v>
      </c>
      <c r="B45" s="143">
        <v>2</v>
      </c>
      <c r="C45" s="144">
        <v>5</v>
      </c>
      <c r="D45" s="145">
        <v>5</v>
      </c>
      <c r="E45" s="149">
        <f t="shared" si="1"/>
        <v>40</v>
      </c>
      <c r="F45" s="150">
        <f t="shared" si="2"/>
        <v>100</v>
      </c>
      <c r="G45" s="151">
        <f t="shared" si="0"/>
        <v>20</v>
      </c>
    </row>
    <row r="46" spans="1:8">
      <c r="A46" s="152" t="s">
        <v>57</v>
      </c>
      <c r="B46" s="153"/>
      <c r="C46" s="154"/>
      <c r="D46" s="154"/>
      <c r="E46" s="149">
        <f t="shared" si="1"/>
        <v>0</v>
      </c>
      <c r="F46" s="150">
        <f t="shared" si="2"/>
        <v>0</v>
      </c>
      <c r="G46" s="155">
        <v>1</v>
      </c>
      <c r="H46" s="9"/>
    </row>
    <row r="47" ht="13.95" spans="1:7">
      <c r="A47" s="156" t="s">
        <v>58</v>
      </c>
      <c r="B47" s="153"/>
      <c r="C47" s="154"/>
      <c r="D47" s="154"/>
      <c r="E47" s="149">
        <f t="shared" ref="E37:F47" si="3">$B$24*B47</f>
        <v>0</v>
      </c>
      <c r="F47" s="150">
        <f t="shared" si="2"/>
        <v>0</v>
      </c>
      <c r="G47" s="155">
        <v>1</v>
      </c>
    </row>
    <row r="48" ht="13.95" spans="1:7">
      <c r="A48" s="157"/>
      <c r="B48" s="158"/>
      <c r="C48" s="158"/>
      <c r="D48" s="158"/>
      <c r="E48" s="159">
        <f>SUM(E37:E47)</f>
        <v>149.6</v>
      </c>
      <c r="F48" s="158">
        <f>SUM(F37:F47)</f>
        <v>404</v>
      </c>
      <c r="G48" s="160">
        <f>SUM(G37:G47)</f>
        <v>102</v>
      </c>
    </row>
    <row r="49" ht="13.95" spans="1:7">
      <c r="A49" s="161" t="s">
        <v>59</v>
      </c>
      <c r="B49" s="162"/>
      <c r="C49" s="162"/>
      <c r="D49" s="162"/>
      <c r="E49" s="162"/>
      <c r="F49" s="162"/>
      <c r="G49" s="163"/>
    </row>
    <row r="50" spans="1:7">
      <c r="A50" s="164" t="s">
        <v>60</v>
      </c>
      <c r="B50" s="165"/>
      <c r="C50" s="165"/>
      <c r="D50" s="165"/>
      <c r="E50" s="166">
        <f t="shared" ref="E50:F50" si="4">E48*0.2</f>
        <v>29.92</v>
      </c>
      <c r="F50" s="166">
        <f t="shared" si="4"/>
        <v>80.8</v>
      </c>
      <c r="G50" s="167"/>
    </row>
    <row r="51" spans="1:7">
      <c r="A51" s="164" t="s">
        <v>61</v>
      </c>
      <c r="B51" s="165"/>
      <c r="C51" s="165"/>
      <c r="D51" s="165"/>
      <c r="E51" s="166">
        <f>ROUND((E48+E50)*0.3,2)</f>
        <v>53.86</v>
      </c>
      <c r="F51" s="166">
        <f>(F48+F50)*0.3</f>
        <v>145.44</v>
      </c>
      <c r="G51" s="167"/>
    </row>
    <row r="52" spans="1:7">
      <c r="A52" s="164" t="s">
        <v>62</v>
      </c>
      <c r="B52" s="165"/>
      <c r="C52" s="165"/>
      <c r="D52" s="165"/>
      <c r="E52" s="166">
        <f t="shared" ref="E52:F52" si="5">ROUND((E51*0.3),2)</f>
        <v>16.16</v>
      </c>
      <c r="F52" s="166">
        <f t="shared" si="5"/>
        <v>43.63</v>
      </c>
      <c r="G52" s="167"/>
    </row>
    <row r="53" ht="13.95" spans="1:7">
      <c r="A53" s="168" t="s">
        <v>38</v>
      </c>
      <c r="B53" s="169"/>
      <c r="C53" s="169"/>
      <c r="D53" s="169"/>
      <c r="E53" s="170">
        <f>CEILING((SUM(E48:E52)),1)</f>
        <v>250</v>
      </c>
      <c r="F53" s="170">
        <f>CEILING(SUM(F48:F52),1)</f>
        <v>674</v>
      </c>
      <c r="G53" s="171">
        <f>SUM(G37:G47)</f>
        <v>102</v>
      </c>
    </row>
    <row r="54" spans="1:8">
      <c r="A54" s="172"/>
      <c r="B54" s="45"/>
      <c r="C54" s="45"/>
      <c r="D54" s="45"/>
      <c r="E54" s="173" t="s">
        <v>63</v>
      </c>
      <c r="F54" s="173" t="s">
        <v>37</v>
      </c>
      <c r="G54" s="173" t="s">
        <v>15</v>
      </c>
      <c r="H54" s="45"/>
    </row>
    <row r="55" spans="1:8">
      <c r="A55" s="172"/>
      <c r="B55" s="45"/>
      <c r="C55" s="45"/>
      <c r="D55" s="45"/>
      <c r="E55" s="45"/>
      <c r="F55" s="45"/>
      <c r="G55" s="45"/>
      <c r="H55" s="45"/>
    </row>
    <row r="56" spans="1:1">
      <c r="A56" t="s">
        <v>64</v>
      </c>
    </row>
  </sheetData>
  <mergeCells count="11">
    <mergeCell ref="C13:G13"/>
    <mergeCell ref="B32:D32"/>
    <mergeCell ref="E32:G32"/>
    <mergeCell ref="A33:A36"/>
    <mergeCell ref="B33:B36"/>
    <mergeCell ref="C33:C36"/>
    <mergeCell ref="D33:D36"/>
    <mergeCell ref="E33:E36"/>
    <mergeCell ref="F33:F36"/>
    <mergeCell ref="G33:G36"/>
    <mergeCell ref="C7:D9"/>
  </mergeCell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7"/>
  <sheetViews>
    <sheetView zoomScale="70" zoomScaleNormal="70" topLeftCell="A15" workbookViewId="0">
      <selection activeCell="B7" sqref="B7"/>
    </sheetView>
  </sheetViews>
  <sheetFormatPr defaultColWidth="8.85185185185185" defaultRowHeight="13.2"/>
  <cols>
    <col min="1" max="1" width="71.287037037037" customWidth="1"/>
    <col min="2" max="2" width="18.4259259259259" customWidth="1"/>
    <col min="3" max="3" width="17.712962962963" customWidth="1"/>
    <col min="4" max="4" width="16.712962962963" customWidth="1"/>
    <col min="5" max="5" width="10.712962962963" customWidth="1"/>
    <col min="6" max="6" width="16.287037037037" customWidth="1"/>
    <col min="7" max="7" width="13" customWidth="1"/>
    <col min="8" max="8" width="13.5740740740741" customWidth="1"/>
    <col min="9" max="9" width="14.1388888888889" customWidth="1"/>
  </cols>
  <sheetData>
    <row r="1" ht="21.75" spans="1:10">
      <c r="A1" s="1" t="s">
        <v>65</v>
      </c>
      <c r="B1" s="2"/>
      <c r="C1" s="2"/>
      <c r="D1" s="2"/>
      <c r="E1" s="2"/>
      <c r="F1" s="2"/>
      <c r="G1" s="2"/>
      <c r="H1" s="2"/>
      <c r="I1" s="2"/>
      <c r="J1" s="2"/>
    </row>
    <row r="2" ht="13.95" spans="1:10">
      <c r="A2" s="3" t="s">
        <v>66</v>
      </c>
      <c r="B2" s="2"/>
      <c r="C2" s="2"/>
      <c r="D2" s="2"/>
      <c r="E2" s="2"/>
      <c r="F2" s="2"/>
      <c r="G2" s="2"/>
      <c r="H2" s="2"/>
      <c r="I2" s="2"/>
      <c r="J2" s="2"/>
    </row>
    <row r="3" customFormat="1" spans="1:10">
      <c r="A3" s="4"/>
      <c r="B3" s="2"/>
      <c r="C3" s="2"/>
      <c r="D3" s="2"/>
      <c r="E3" s="2"/>
      <c r="F3" s="2"/>
      <c r="G3" s="2"/>
      <c r="H3" s="2"/>
      <c r="I3" s="2"/>
      <c r="J3" s="2"/>
    </row>
    <row r="4" spans="1:3">
      <c r="A4" s="5"/>
      <c r="B4" s="5"/>
      <c r="C4" s="5"/>
    </row>
    <row r="5" ht="13.95" spans="1:3">
      <c r="A5" s="6" t="s">
        <v>2</v>
      </c>
      <c r="B5" s="5"/>
      <c r="C5" s="5"/>
    </row>
    <row r="6" ht="13.95" spans="1:8">
      <c r="A6" s="7" t="s">
        <v>3</v>
      </c>
      <c r="B6" s="8" t="s">
        <v>4</v>
      </c>
      <c r="C6" s="5"/>
      <c r="H6" s="9"/>
    </row>
    <row r="7" ht="12.75" customHeight="1" spans="1:7">
      <c r="A7" s="10" t="s">
        <v>67</v>
      </c>
      <c r="B7" s="11">
        <f>Summary!B7</f>
        <v>100000000</v>
      </c>
      <c r="C7" s="12" t="s">
        <v>24</v>
      </c>
      <c r="D7" s="13"/>
      <c r="G7" s="14"/>
    </row>
    <row r="8" customFormat="1" ht="13.95" spans="1:10">
      <c r="A8" s="15" t="s">
        <v>9</v>
      </c>
      <c r="B8" s="16">
        <f>Summary!B10</f>
        <v>0.1</v>
      </c>
      <c r="C8" s="12"/>
      <c r="D8" s="13"/>
      <c r="G8" s="14"/>
      <c r="I8" s="2"/>
      <c r="J8" s="2"/>
    </row>
    <row r="9" customFormat="1" spans="1:10">
      <c r="A9" s="17"/>
      <c r="B9" s="18"/>
      <c r="C9" s="19"/>
      <c r="D9" s="20"/>
      <c r="I9" s="2"/>
      <c r="J9" s="2"/>
    </row>
    <row r="10" customFormat="1" ht="13.95" spans="1:10">
      <c r="A10" s="21" t="s">
        <v>25</v>
      </c>
      <c r="B10" s="18"/>
      <c r="C10" s="5"/>
      <c r="I10" s="2"/>
      <c r="J10" s="2"/>
    </row>
    <row r="11" customFormat="1" ht="13.95" spans="1:10">
      <c r="A11" s="22" t="s">
        <v>26</v>
      </c>
      <c r="B11" s="23" t="s">
        <v>4</v>
      </c>
      <c r="C11" s="5"/>
      <c r="I11" s="2"/>
      <c r="J11" s="2"/>
    </row>
    <row r="12" customFormat="1" ht="13.5" customHeight="1" spans="1:10">
      <c r="A12" s="24" t="s">
        <v>68</v>
      </c>
      <c r="B12" s="25">
        <v>0.08</v>
      </c>
      <c r="C12" s="26" t="s">
        <v>69</v>
      </c>
      <c r="D12" s="27"/>
      <c r="E12" s="27"/>
      <c r="F12" s="27"/>
      <c r="I12" s="2"/>
      <c r="J12" s="2"/>
    </row>
    <row r="13" ht="13.95" spans="1:3">
      <c r="A13" s="5"/>
      <c r="B13" s="28"/>
      <c r="C13" s="5"/>
    </row>
    <row r="14" ht="13.95" spans="1:3">
      <c r="A14" s="29" t="s">
        <v>30</v>
      </c>
      <c r="B14" s="30" t="s">
        <v>4</v>
      </c>
      <c r="C14" s="5"/>
    </row>
    <row r="15" spans="1:3">
      <c r="A15" s="31" t="s">
        <v>70</v>
      </c>
      <c r="B15" s="32">
        <f>B7</f>
        <v>100000000</v>
      </c>
      <c r="C15" s="5"/>
    </row>
    <row r="16" customFormat="1" spans="1:3">
      <c r="A16" s="33" t="s">
        <v>71</v>
      </c>
      <c r="B16" s="32">
        <f>B7*B8</f>
        <v>10000000</v>
      </c>
      <c r="C16" s="5"/>
    </row>
    <row r="17" customFormat="1" spans="1:3">
      <c r="A17" s="33" t="s">
        <v>72</v>
      </c>
      <c r="B17" s="32">
        <f>B16*B12</f>
        <v>800000</v>
      </c>
      <c r="C17" s="5"/>
    </row>
    <row r="18" ht="13.95" spans="1:3">
      <c r="A18" s="34" t="s">
        <v>73</v>
      </c>
      <c r="B18" s="35">
        <f>CEILING(B17/3600,1)</f>
        <v>223</v>
      </c>
      <c r="C18" s="5"/>
    </row>
    <row r="19" ht="13.95" spans="1:3">
      <c r="A19" s="5"/>
      <c r="B19" s="28"/>
      <c r="C19" s="5"/>
    </row>
    <row r="20" ht="13.95" spans="1:3">
      <c r="A20" s="36" t="s">
        <v>34</v>
      </c>
      <c r="B20" s="37"/>
      <c r="C20" s="5"/>
    </row>
    <row r="21" ht="13.95" spans="1:3">
      <c r="A21" s="38" t="s">
        <v>35</v>
      </c>
      <c r="B21" s="39">
        <v>50</v>
      </c>
      <c r="C21" s="5"/>
    </row>
    <row r="22" customFormat="1" ht="13.95" spans="1:3">
      <c r="A22" s="40"/>
      <c r="B22" s="41"/>
      <c r="C22" s="5"/>
    </row>
    <row r="23" ht="18.15" spans="1:3">
      <c r="A23" s="42" t="s">
        <v>74</v>
      </c>
      <c r="B23" s="43">
        <f>CEILING(B18/B21,1)</f>
        <v>5</v>
      </c>
      <c r="C23" s="5"/>
    </row>
    <row r="24" spans="1:3">
      <c r="A24" s="44"/>
      <c r="B24" s="44"/>
      <c r="C24" s="5"/>
    </row>
    <row r="26" ht="13.95" spans="1:7">
      <c r="A26" s="45"/>
      <c r="B26" s="45"/>
      <c r="C26" s="45"/>
      <c r="D26" s="45"/>
      <c r="E26" s="46" t="s">
        <v>13</v>
      </c>
      <c r="F26" s="46" t="s">
        <v>37</v>
      </c>
      <c r="G26" s="46" t="s">
        <v>15</v>
      </c>
    </row>
    <row r="27" ht="21.15" spans="1:7">
      <c r="A27" s="47" t="s">
        <v>38</v>
      </c>
      <c r="B27" s="48"/>
      <c r="C27" s="48"/>
      <c r="D27" s="48"/>
      <c r="E27" s="49">
        <f>E48</f>
        <v>217</v>
      </c>
      <c r="F27" s="50">
        <f>F48</f>
        <v>697</v>
      </c>
      <c r="G27" s="49">
        <f>G48</f>
        <v>87</v>
      </c>
    </row>
    <row r="29" ht="13.95" spans="1:2">
      <c r="A29" s="6" t="s">
        <v>39</v>
      </c>
      <c r="B29" s="9"/>
    </row>
    <row r="30" customFormat="1" ht="13.95" spans="1:7">
      <c r="A30" s="6"/>
      <c r="B30" s="51" t="s">
        <v>40</v>
      </c>
      <c r="C30" s="52"/>
      <c r="D30" s="52"/>
      <c r="E30" s="53" t="s">
        <v>41</v>
      </c>
      <c r="F30" s="53"/>
      <c r="G30" s="54"/>
    </row>
    <row r="31" spans="1:7">
      <c r="A31" s="55" t="s">
        <v>42</v>
      </c>
      <c r="B31" s="56" t="s">
        <v>43</v>
      </c>
      <c r="C31" s="57" t="s">
        <v>44</v>
      </c>
      <c r="D31" s="57" t="str">
        <f>"Pods 
required
for 
"&amp;B21&amp;" TPS"</f>
        <v>Pods 
required
for 
50 TPS</v>
      </c>
      <c r="E31" s="57" t="s">
        <v>45</v>
      </c>
      <c r="F31" s="57" t="s">
        <v>46</v>
      </c>
      <c r="G31" s="57" t="s">
        <v>47</v>
      </c>
    </row>
    <row r="32" spans="1:7">
      <c r="A32" s="58"/>
      <c r="B32" s="59"/>
      <c r="C32" s="60"/>
      <c r="D32" s="60"/>
      <c r="E32" s="60"/>
      <c r="F32" s="60"/>
      <c r="G32" s="60"/>
    </row>
    <row r="33" spans="1:7">
      <c r="A33" s="58"/>
      <c r="B33" s="59"/>
      <c r="C33" s="60"/>
      <c r="D33" s="60"/>
      <c r="E33" s="60"/>
      <c r="F33" s="60"/>
      <c r="G33" s="60"/>
    </row>
    <row r="34" ht="13.95" spans="1:7">
      <c r="A34" s="61"/>
      <c r="B34" s="59"/>
      <c r="C34" s="60"/>
      <c r="D34" s="60"/>
      <c r="E34" s="60"/>
      <c r="F34" s="60"/>
      <c r="G34" s="60"/>
    </row>
    <row r="35" spans="1:7">
      <c r="A35" s="62" t="s">
        <v>75</v>
      </c>
      <c r="B35" s="63">
        <v>2</v>
      </c>
      <c r="C35" s="64">
        <v>5</v>
      </c>
      <c r="D35" s="65">
        <v>4</v>
      </c>
      <c r="E35" s="66">
        <f>$G35*B35</f>
        <v>40</v>
      </c>
      <c r="F35" s="67">
        <f>$G35*C35</f>
        <v>100</v>
      </c>
      <c r="G35" s="68">
        <f t="shared" ref="G35:G40" si="0">$B$23*D35</f>
        <v>20</v>
      </c>
    </row>
    <row r="36" spans="1:7">
      <c r="A36" s="62" t="s">
        <v>76</v>
      </c>
      <c r="B36" s="69">
        <v>0.5</v>
      </c>
      <c r="C36" s="70">
        <v>4</v>
      </c>
      <c r="D36" s="71">
        <v>2</v>
      </c>
      <c r="E36" s="72">
        <f t="shared" ref="E36:E43" si="1">$G36*B36</f>
        <v>5</v>
      </c>
      <c r="F36" s="73">
        <f t="shared" ref="F36:F42" si="2">$G36*C36</f>
        <v>40</v>
      </c>
      <c r="G36" s="74">
        <f t="shared" si="0"/>
        <v>10</v>
      </c>
    </row>
    <row r="37" spans="1:7">
      <c r="A37" s="62" t="s">
        <v>77</v>
      </c>
      <c r="B37" s="69">
        <v>1.5</v>
      </c>
      <c r="C37" s="70">
        <v>4</v>
      </c>
      <c r="D37" s="71">
        <v>3</v>
      </c>
      <c r="E37" s="72">
        <f t="shared" si="1"/>
        <v>22.5</v>
      </c>
      <c r="F37" s="73">
        <f t="shared" si="2"/>
        <v>60</v>
      </c>
      <c r="G37" s="74">
        <f t="shared" si="0"/>
        <v>15</v>
      </c>
    </row>
    <row r="38" spans="1:7">
      <c r="A38" s="62" t="s">
        <v>78</v>
      </c>
      <c r="B38" s="69">
        <v>1.5</v>
      </c>
      <c r="C38" s="70">
        <v>5</v>
      </c>
      <c r="D38" s="71">
        <v>3</v>
      </c>
      <c r="E38" s="72">
        <f t="shared" si="1"/>
        <v>22.5</v>
      </c>
      <c r="F38" s="73">
        <f t="shared" si="2"/>
        <v>75</v>
      </c>
      <c r="G38" s="74">
        <f t="shared" si="0"/>
        <v>15</v>
      </c>
    </row>
    <row r="39" spans="1:9">
      <c r="A39" s="17" t="s">
        <v>79</v>
      </c>
      <c r="B39" s="69">
        <v>0.5</v>
      </c>
      <c r="C39" s="70">
        <v>3.1</v>
      </c>
      <c r="D39" s="71">
        <v>3</v>
      </c>
      <c r="E39" s="72">
        <f t="shared" si="1"/>
        <v>7.5</v>
      </c>
      <c r="F39" s="73">
        <f t="shared" si="2"/>
        <v>46.5</v>
      </c>
      <c r="G39" s="74">
        <f t="shared" si="0"/>
        <v>15</v>
      </c>
      <c r="I39" s="105"/>
    </row>
    <row r="40" ht="13.95" spans="1:7">
      <c r="A40" s="17" t="s">
        <v>80</v>
      </c>
      <c r="B40" s="69">
        <v>2</v>
      </c>
      <c r="C40" s="70">
        <v>5</v>
      </c>
      <c r="D40" s="71">
        <v>2</v>
      </c>
      <c r="E40" s="72">
        <f t="shared" si="1"/>
        <v>20</v>
      </c>
      <c r="F40" s="73">
        <f t="shared" si="2"/>
        <v>50</v>
      </c>
      <c r="G40" s="74">
        <f t="shared" si="0"/>
        <v>10</v>
      </c>
    </row>
    <row r="41" spans="1:7">
      <c r="A41" s="75" t="s">
        <v>57</v>
      </c>
      <c r="B41" s="63">
        <v>4</v>
      </c>
      <c r="C41" s="64">
        <v>15</v>
      </c>
      <c r="D41" s="65">
        <v>1</v>
      </c>
      <c r="E41" s="66">
        <f t="shared" si="1"/>
        <v>4</v>
      </c>
      <c r="F41" s="67">
        <f t="shared" si="2"/>
        <v>15</v>
      </c>
      <c r="G41" s="76">
        <v>1</v>
      </c>
    </row>
    <row r="42" ht="13.95" spans="1:7">
      <c r="A42" s="77" t="s">
        <v>58</v>
      </c>
      <c r="B42" s="78">
        <v>8</v>
      </c>
      <c r="C42" s="79">
        <v>31</v>
      </c>
      <c r="D42" s="80">
        <v>1</v>
      </c>
      <c r="E42" s="81">
        <f t="shared" si="1"/>
        <v>8</v>
      </c>
      <c r="F42" s="82">
        <f t="shared" si="2"/>
        <v>31</v>
      </c>
      <c r="G42" s="83">
        <v>1</v>
      </c>
    </row>
    <row r="43" ht="13.95" spans="1:7">
      <c r="A43" s="84"/>
      <c r="B43" s="85"/>
      <c r="C43" s="85"/>
      <c r="D43" s="85"/>
      <c r="E43" s="86">
        <f>SUM(E35:E42)</f>
        <v>129.5</v>
      </c>
      <c r="F43" s="86">
        <f>SUM(F35:F42)</f>
        <v>417.5</v>
      </c>
      <c r="G43" s="87">
        <f>SUM(G35:G42)</f>
        <v>87</v>
      </c>
    </row>
    <row r="44" ht="13.95" spans="1:7">
      <c r="A44" s="88" t="s">
        <v>59</v>
      </c>
      <c r="B44" s="89"/>
      <c r="C44" s="89"/>
      <c r="D44" s="89"/>
      <c r="E44" s="90"/>
      <c r="F44" s="91"/>
      <c r="G44" s="92"/>
    </row>
    <row r="45" spans="1:7">
      <c r="A45" s="93" t="s">
        <v>81</v>
      </c>
      <c r="B45" s="94"/>
      <c r="C45" s="94"/>
      <c r="D45" s="94"/>
      <c r="E45" s="95">
        <f t="shared" ref="E45:F45" si="3">E43*0.2</f>
        <v>25.9</v>
      </c>
      <c r="F45" s="96">
        <f t="shared" si="3"/>
        <v>83.5</v>
      </c>
      <c r="G45" s="97"/>
    </row>
    <row r="46" ht="12.75" customHeight="1" spans="1:7">
      <c r="A46" s="93" t="s">
        <v>61</v>
      </c>
      <c r="B46" s="94"/>
      <c r="C46" s="94"/>
      <c r="D46" s="94"/>
      <c r="E46" s="95">
        <f>ROUND((E43+E45)*0.3,2)</f>
        <v>46.62</v>
      </c>
      <c r="F46" s="96">
        <f>(F43+F45)*0.3</f>
        <v>150.3</v>
      </c>
      <c r="G46" s="97"/>
    </row>
    <row r="47" spans="1:7">
      <c r="A47" s="93" t="s">
        <v>62</v>
      </c>
      <c r="B47" s="94"/>
      <c r="C47" s="94"/>
      <c r="D47" s="94"/>
      <c r="E47" s="95">
        <f t="shared" ref="E47:F47" si="4">ROUND((E46*0.3),2)</f>
        <v>13.99</v>
      </c>
      <c r="F47" s="96">
        <f t="shared" si="4"/>
        <v>45.09</v>
      </c>
      <c r="G47" s="97"/>
    </row>
    <row r="48" ht="16.35" spans="1:7">
      <c r="A48" s="98" t="s">
        <v>38</v>
      </c>
      <c r="B48" s="99"/>
      <c r="C48" s="99"/>
      <c r="D48" s="99"/>
      <c r="E48" s="100">
        <f>CEILING((SUM(E43:E47)),1)</f>
        <v>217</v>
      </c>
      <c r="F48" s="101">
        <f>CEILING(SUM(F43:F47),1)</f>
        <v>697</v>
      </c>
      <c r="G48" s="102">
        <f>CEILING((SUM(G35:G42)),1)</f>
        <v>87</v>
      </c>
    </row>
    <row r="49" spans="1:8">
      <c r="A49" s="93"/>
      <c r="B49" s="103"/>
      <c r="C49" s="103"/>
      <c r="D49" s="103"/>
      <c r="E49" s="103" t="s">
        <v>63</v>
      </c>
      <c r="F49" s="103" t="s">
        <v>37</v>
      </c>
      <c r="G49" s="103" t="s">
        <v>15</v>
      </c>
      <c r="H49" s="45"/>
    </row>
    <row r="50" ht="18.6" spans="2:7">
      <c r="B50" s="2"/>
      <c r="C50" s="104"/>
      <c r="D50" s="105"/>
      <c r="E50" s="105"/>
      <c r="F50" s="105"/>
      <c r="G50" s="105"/>
    </row>
    <row r="51" spans="1:4">
      <c r="A51" t="s">
        <v>64</v>
      </c>
      <c r="B51" s="9"/>
      <c r="C51" s="9"/>
      <c r="D51" s="9"/>
    </row>
    <row r="52" spans="1:4">
      <c r="A52" s="9"/>
      <c r="B52" s="9"/>
      <c r="C52" s="9"/>
      <c r="D52" s="9"/>
    </row>
    <row r="53" spans="1:4">
      <c r="A53" s="9"/>
      <c r="B53" s="9"/>
      <c r="C53" s="9"/>
      <c r="D53" s="9"/>
    </row>
    <row r="54" spans="1:4">
      <c r="A54" s="9"/>
      <c r="B54" s="9"/>
      <c r="C54" s="9"/>
      <c r="D54" s="9"/>
    </row>
    <row r="55" spans="1:4">
      <c r="A55" s="9"/>
      <c r="B55" s="9"/>
      <c r="C55" s="9"/>
      <c r="D55" s="9"/>
    </row>
    <row r="56" spans="1:4">
      <c r="A56" s="9"/>
      <c r="B56" s="9"/>
      <c r="C56" s="9"/>
      <c r="D56" s="9"/>
    </row>
    <row r="57" spans="1:4">
      <c r="A57" s="9"/>
      <c r="B57" s="9"/>
      <c r="C57" s="9"/>
      <c r="D57" s="9"/>
    </row>
    <row r="58" spans="1:9">
      <c r="A58" s="9"/>
      <c r="B58" s="9"/>
      <c r="C58" s="9"/>
      <c r="D58" s="9"/>
      <c r="E58" s="105"/>
      <c r="F58" s="105"/>
      <c r="G58" s="2"/>
      <c r="H58" s="105"/>
      <c r="I58" s="105"/>
    </row>
    <row r="59" spans="1:10">
      <c r="A59" s="9"/>
      <c r="B59" s="9"/>
      <c r="C59" s="9"/>
      <c r="D59" s="9"/>
      <c r="G59" s="9"/>
      <c r="J59" s="105"/>
    </row>
    <row r="60" spans="1:7">
      <c r="A60" s="9"/>
      <c r="B60" s="9"/>
      <c r="C60" s="9"/>
      <c r="D60" s="9"/>
      <c r="G60" s="9"/>
    </row>
    <row r="61" spans="1:7">
      <c r="A61" s="9"/>
      <c r="B61" s="9"/>
      <c r="C61" s="9"/>
      <c r="D61" s="9"/>
      <c r="G61" s="9"/>
    </row>
    <row r="62" spans="1:7">
      <c r="A62" s="9"/>
      <c r="B62" s="9"/>
      <c r="C62" s="9"/>
      <c r="D62" s="9"/>
      <c r="G62" s="9"/>
    </row>
    <row r="63" spans="1:7">
      <c r="A63" s="9"/>
      <c r="B63" s="9"/>
      <c r="C63" s="9"/>
      <c r="D63" s="9"/>
      <c r="G63" s="9"/>
    </row>
    <row r="64" spans="1:7">
      <c r="A64" s="9"/>
      <c r="B64" s="9"/>
      <c r="C64" s="9"/>
      <c r="D64" s="9"/>
      <c r="G64" s="9"/>
    </row>
    <row r="65" spans="1:4">
      <c r="A65" s="9"/>
      <c r="B65" s="9"/>
      <c r="C65" s="9"/>
      <c r="D65" s="9"/>
    </row>
    <row r="66" spans="1:4">
      <c r="A66" s="9"/>
      <c r="B66" s="9"/>
      <c r="C66" s="9"/>
      <c r="D66" s="9"/>
    </row>
    <row r="67" spans="1:4">
      <c r="A67" s="9"/>
      <c r="B67" s="9"/>
      <c r="C67" s="9"/>
      <c r="D67" s="9"/>
    </row>
  </sheetData>
  <mergeCells count="11">
    <mergeCell ref="C12:F12"/>
    <mergeCell ref="B30:D30"/>
    <mergeCell ref="E30:G30"/>
    <mergeCell ref="A31:A34"/>
    <mergeCell ref="B31:B34"/>
    <mergeCell ref="C31:C34"/>
    <mergeCell ref="D31:D34"/>
    <mergeCell ref="E31:E34"/>
    <mergeCell ref="F31:F34"/>
    <mergeCell ref="G31:G34"/>
    <mergeCell ref="C7:D8"/>
  </mergeCells>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Summary</vt:lpstr>
      <vt:lpstr>Registrations Upload &amp; SyncData</vt:lpstr>
      <vt:lpstr>IDAuthentication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Deepesh Gurung</dc:creator>
  <cp:lastModifiedBy>admin</cp:lastModifiedBy>
  <dcterms:created xsi:type="dcterms:W3CDTF">2025-11-06T11:14:00Z</dcterms:created>
  <dcterms:modified xsi:type="dcterms:W3CDTF">2026-01-27T11:46:46Z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1130486CB80E41A0BD9DBF4594E608A5_12</vt:lpwstr>
  </property>
  <property fmtid="{D5CDD505-2E9C-101B-9397-08002B2CF9AE}" pid="3" name="KSOProductBuildVer">
    <vt:lpwstr>2057-12.2.0.23196</vt:lpwstr>
  </property>
</Properties>
</file>